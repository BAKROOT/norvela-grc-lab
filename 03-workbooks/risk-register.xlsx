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HERITED-REGISTER" sheetId="2" state="visible" r:id="rId2"/>
    <sheet xmlns:r="http://schemas.openxmlformats.org/officeDocument/2006/relationships" name="RISK-REGISTER-V2" sheetId="3" state="visible" r:id="rId3"/>
    <sheet xmlns:r="http://schemas.openxmlformats.org/officeDocument/2006/relationships" name="SCORING-CRITERIA" sheetId="4" state="visible" r:id="rId4"/>
    <sheet xmlns:r="http://schemas.openxmlformats.org/officeDocument/2006/relationships" name="RISK-APPETI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NORVELA PAY — RISK REGISTER WORKBOOK</t>
        </is>
      </c>
      <c r="B1" s="2" t="n"/>
    </row>
    <row r="2">
      <c r="B2" s="2" t="n"/>
    </row>
    <row r="3">
      <c r="A3" t="inlineStr">
        <is>
          <t>This workbook has four sheets. Work them in order.</t>
        </is>
      </c>
      <c r="B3" s="2" t="n"/>
    </row>
    <row r="4">
      <c r="B4" s="2" t="n"/>
    </row>
    <row r="5">
      <c r="A5" s="3" t="inlineStr">
        <is>
          <t>1. INHERITED-REGISTER</t>
        </is>
      </c>
      <c r="B5" s="2" t="inlineStr">
        <is>
          <t>What you actually inherit on day one. 23 rows of near-useless entries. Your first exercise is to critique it — write down every structural defect you can find before you rebuild. There are at least twelve.</t>
        </is>
      </c>
    </row>
    <row r="6">
      <c r="A6" s="3" t="inlineStr">
        <is>
          <t>2. RISK-REGISTER-V2</t>
        </is>
      </c>
      <c r="B6" s="2" t="inlineStr">
        <is>
          <t>The rebuilt register. Columns are designed to survive an auditor, a supervisor and a board. Populate it from the dossier, the incident pack, the asset list and the vendor register.</t>
        </is>
      </c>
    </row>
    <row r="7">
      <c r="A7" s="3" t="inlineStr">
        <is>
          <t>3. SCORING-CRITERIA</t>
        </is>
      </c>
      <c r="B7" s="2" t="inlineStr">
        <is>
          <t>Defined 1-5 scales for likelihood and impact. Without these, a 'High' rating is an opinion. With them, it is a finding.</t>
        </is>
      </c>
    </row>
    <row r="8">
      <c r="A8" s="3" t="inlineStr">
        <is>
          <t>4. RISK-APPETITE</t>
        </is>
      </c>
      <c r="B8" s="2" t="inlineStr">
        <is>
          <t>Draft appetite statements derived from board behaviour. You will present these for approval in Phase 1.</t>
        </is>
      </c>
    </row>
    <row r="9">
      <c r="B9" s="2" t="n"/>
    </row>
    <row r="10">
      <c r="A10" t="inlineStr">
        <is>
          <t>TARGET: 35-45 well-formed risks. Fewer means you missed things; many more means you are logging findings as risks.</t>
        </is>
      </c>
      <c r="B10" s="2" t="n"/>
    </row>
    <row r="11">
      <c r="B11" s="2" t="n"/>
    </row>
    <row r="12">
      <c r="A12" t="inlineStr">
        <is>
          <t>The difference between a FINDING and a RISK:</t>
        </is>
      </c>
      <c r="B12" s="2" t="n"/>
    </row>
    <row r="13">
      <c r="A13" t="inlineStr">
        <is>
          <t>FINDING</t>
        </is>
      </c>
      <c r="B13" s="2" t="inlineStr">
        <is>
          <t>A control that does not exist, or exists and does not work. Present tense. Has an owner and a fix date. Example: 'Service account credentials are not rotated.'</t>
        </is>
      </c>
    </row>
    <row r="14">
      <c r="A14" s="3" t="inlineStr">
        <is>
          <t>RISK</t>
        </is>
      </c>
      <c r="B14" s="2" t="inlineStr">
        <is>
          <t>A future loss scenario with a cause, an event and a consequence. Has a likelihood and an impact. Example: 'Because service credentials are long-lived and stored in code, an attacker obtaining repository history could initiate unauthorised payouts, resulting in direct financial loss and supervisory action.'</t>
        </is>
      </c>
    </row>
    <row r="15">
      <c r="A15" s="3" t="inlineStr"/>
      <c r="B15" s="2" t="inlineStr">
        <is>
          <t>One risk can be caused by many findings. Do not create one risk per finding — that is the most common way junior analysts produce a 200-row register that nobody reads.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3" customWidth="1" min="3" max="3"/>
    <col width="12" customWidth="1" min="4" max="4"/>
    <col width="10" customWidth="1" min="5" max="5"/>
    <col width="19" customWidth="1" min="6" max="6"/>
    <col width="10" customWidth="1" min="7" max="7"/>
    <col width="14" customWidth="1" min="8" max="8"/>
  </cols>
  <sheetData>
    <row r="1" ht="32" customHeight="1">
      <c r="A1" s="4" t="inlineStr">
        <is>
          <t>Risk ID</t>
        </is>
      </c>
      <c r="B1" s="4" t="inlineStr">
        <is>
          <t>Risk</t>
        </is>
      </c>
      <c r="C1" s="4" t="inlineStr">
        <is>
          <t>Owner</t>
        </is>
      </c>
      <c r="D1" s="4" t="inlineStr">
        <is>
          <t>Likelihood</t>
        </is>
      </c>
      <c r="E1" s="4" t="inlineStr">
        <is>
          <t>Impact</t>
        </is>
      </c>
      <c r="F1" s="4" t="inlineStr">
        <is>
          <t>Mitigation</t>
        </is>
      </c>
      <c r="G1" s="4" t="inlineStr">
        <is>
          <t>Status</t>
        </is>
      </c>
      <c r="H1" s="4" t="inlineStr">
        <is>
          <t>Last updated</t>
        </is>
      </c>
    </row>
    <row r="2">
      <c r="A2" t="inlineStr">
        <is>
          <t>R-01</t>
        </is>
      </c>
      <c r="B2" t="inlineStr">
        <is>
          <t>Cyber attack</t>
        </is>
      </c>
      <c r="C2" t="inlineStr">
        <is>
          <t>IT</t>
        </is>
      </c>
      <c r="D2" t="inlineStr">
        <is>
          <t>High</t>
        </is>
      </c>
      <c r="E2" t="inlineStr">
        <is>
          <t>High</t>
        </is>
      </c>
      <c r="F2" t="inlineStr">
        <is>
          <t>Firewall in place</t>
        </is>
      </c>
      <c r="G2" t="inlineStr">
        <is>
          <t>Open</t>
        </is>
      </c>
      <c r="H2" t="inlineStr">
        <is>
          <t>2025-04-02</t>
        </is>
      </c>
    </row>
    <row r="3">
      <c r="A3" t="inlineStr">
        <is>
          <t>R-02</t>
        </is>
      </c>
      <c r="B3" t="inlineStr">
        <is>
          <t>Data breach</t>
        </is>
      </c>
      <c r="C3" t="inlineStr">
        <is>
          <t>IT</t>
        </is>
      </c>
      <c r="D3" t="inlineStr">
        <is>
          <t>High</t>
        </is>
      </c>
      <c r="E3" t="inlineStr">
        <is>
          <t>Medium</t>
        </is>
      </c>
      <c r="F3" t="inlineStr">
        <is>
          <t>Encryption</t>
        </is>
      </c>
      <c r="G3" t="inlineStr">
        <is>
          <t>Open</t>
        </is>
      </c>
      <c r="H3" t="inlineStr">
        <is>
          <t>2025-04-02</t>
        </is>
      </c>
    </row>
    <row r="4">
      <c r="A4" t="inlineStr">
        <is>
          <t>R-03</t>
        </is>
      </c>
      <c r="B4" t="inlineStr">
        <is>
          <t>Staff leaving</t>
        </is>
      </c>
      <c r="C4" t="inlineStr">
        <is>
          <t>HR</t>
        </is>
      </c>
      <c r="D4" t="inlineStr">
        <is>
          <t>Medium</t>
        </is>
      </c>
      <c r="E4" t="inlineStr">
        <is>
          <t>Medium</t>
        </is>
      </c>
      <c r="F4" t="inlineStr">
        <is>
          <t>Retention bonuses</t>
        </is>
      </c>
      <c r="G4" t="inlineStr">
        <is>
          <t>Open</t>
        </is>
      </c>
      <c r="H4" t="inlineStr">
        <is>
          <t>2024-11-15</t>
        </is>
      </c>
    </row>
    <row r="5">
      <c r="A5" t="inlineStr">
        <is>
          <t>R-04</t>
        </is>
      </c>
      <c r="B5" t="inlineStr">
        <is>
          <t>Cloud outage</t>
        </is>
      </c>
      <c r="C5" t="inlineStr">
        <is>
          <t>IT</t>
        </is>
      </c>
      <c r="D5" t="inlineStr">
        <is>
          <t>Medium</t>
        </is>
      </c>
      <c r="E5" t="inlineStr">
        <is>
          <t>High</t>
        </is>
      </c>
      <c r="F5" t="inlineStr">
        <is>
          <t>AWS is reliable</t>
        </is>
      </c>
      <c r="G5" t="inlineStr">
        <is>
          <t>Open</t>
        </is>
      </c>
      <c r="H5" t="inlineStr">
        <is>
          <t>2025-04-02</t>
        </is>
      </c>
    </row>
    <row r="6">
      <c r="A6" t="inlineStr">
        <is>
          <t>R-05</t>
        </is>
      </c>
      <c r="B6" t="inlineStr">
        <is>
          <t>GDPR fine</t>
        </is>
      </c>
      <c r="C6" t="inlineStr">
        <is>
          <t>Legal</t>
        </is>
      </c>
      <c r="D6" t="inlineStr">
        <is>
          <t>Low</t>
        </is>
      </c>
      <c r="E6" t="inlineStr">
        <is>
          <t>High</t>
        </is>
      </c>
      <c r="F6" t="inlineStr">
        <is>
          <t>We have a DPO</t>
        </is>
      </c>
      <c r="G6" t="inlineStr">
        <is>
          <t>Open</t>
        </is>
      </c>
      <c r="H6" t="inlineStr">
        <is>
          <t>2024-06-01</t>
        </is>
      </c>
    </row>
    <row r="7">
      <c r="A7" t="inlineStr">
        <is>
          <t>R-06</t>
        </is>
      </c>
      <c r="B7" t="inlineStr">
        <is>
          <t>Fraud</t>
        </is>
      </c>
      <c r="C7" t="inlineStr">
        <is>
          <t>Finance</t>
        </is>
      </c>
      <c r="D7" t="inlineStr">
        <is>
          <t>Medium</t>
        </is>
      </c>
      <c r="E7" t="inlineStr">
        <is>
          <t>High</t>
        </is>
      </c>
      <c r="F7" t="inlineStr">
        <is>
          <t>Sentinel model</t>
        </is>
      </c>
      <c r="G7" t="inlineStr">
        <is>
          <t>Open</t>
        </is>
      </c>
      <c r="H7" t="inlineStr">
        <is>
          <t>2025-04-02</t>
        </is>
      </c>
    </row>
    <row r="8">
      <c r="A8" t="inlineStr">
        <is>
          <t>R-07</t>
        </is>
      </c>
      <c r="B8" t="inlineStr">
        <is>
          <t>Regulatory change</t>
        </is>
      </c>
      <c r="C8" t="inlineStr">
        <is>
          <t>Compliance</t>
        </is>
      </c>
      <c r="D8" t="inlineStr">
        <is>
          <t>High</t>
        </is>
      </c>
      <c r="E8" t="inlineStr">
        <is>
          <t>Medium</t>
        </is>
      </c>
      <c r="F8" t="inlineStr">
        <is>
          <t>We monitor</t>
        </is>
      </c>
      <c r="G8" t="inlineStr">
        <is>
          <t>Open</t>
        </is>
      </c>
      <c r="H8" t="inlineStr">
        <is>
          <t>2025-01-10</t>
        </is>
      </c>
    </row>
    <row r="9">
      <c r="A9" t="inlineStr">
        <is>
          <t>R-08</t>
        </is>
      </c>
      <c r="B9" t="inlineStr">
        <is>
          <t>Key person dependency</t>
        </is>
      </c>
      <c r="C9" t="inlineStr">
        <is>
          <t>Ops</t>
        </is>
      </c>
      <c r="D9" t="inlineStr">
        <is>
          <t>Medium</t>
        </is>
      </c>
      <c r="E9" t="inlineStr">
        <is>
          <t>Medium</t>
        </is>
      </c>
      <c r="F9" t="inlineStr">
        <is>
          <t>Documentation</t>
        </is>
      </c>
      <c r="G9" t="inlineStr">
        <is>
          <t>Open</t>
        </is>
      </c>
      <c r="H9" t="inlineStr">
        <is>
          <t>2024-09-20</t>
        </is>
      </c>
    </row>
    <row r="10">
      <c r="A10" t="inlineStr">
        <is>
          <t>R-09</t>
        </is>
      </c>
      <c r="B10" t="inlineStr">
        <is>
          <t>Vendor failure</t>
        </is>
      </c>
      <c r="C10" t="inlineStr">
        <is>
          <t>Procurement</t>
        </is>
      </c>
      <c r="D10" t="inlineStr">
        <is>
          <t>Low</t>
        </is>
      </c>
      <c r="E10" t="inlineStr">
        <is>
          <t>High</t>
        </is>
      </c>
      <c r="F10" t="inlineStr">
        <is>
          <t>Contracts</t>
        </is>
      </c>
      <c r="G10" t="inlineStr">
        <is>
          <t>Open</t>
        </is>
      </c>
      <c r="H10" t="inlineStr">
        <is>
          <t>2024-06-01</t>
        </is>
      </c>
    </row>
    <row r="11">
      <c r="A11" t="inlineStr">
        <is>
          <t>R-10</t>
        </is>
      </c>
      <c r="B11" t="inlineStr">
        <is>
          <t>Ransomware</t>
        </is>
      </c>
      <c r="C11" t="inlineStr">
        <is>
          <t>IT</t>
        </is>
      </c>
      <c r="D11" t="inlineStr">
        <is>
          <t>Medium</t>
        </is>
      </c>
      <c r="E11" t="inlineStr">
        <is>
          <t>High</t>
        </is>
      </c>
      <c r="F11" t="inlineStr">
        <is>
          <t>Backups</t>
        </is>
      </c>
      <c r="G11" t="inlineStr">
        <is>
          <t>Open</t>
        </is>
      </c>
      <c r="H11" t="inlineStr">
        <is>
          <t>2025-04-02</t>
        </is>
      </c>
    </row>
    <row r="12">
      <c r="A12" t="inlineStr">
        <is>
          <t>R-11</t>
        </is>
      </c>
      <c r="B12" t="inlineStr">
        <is>
          <t>Insider threat</t>
        </is>
      </c>
      <c r="C12" t="inlineStr">
        <is>
          <t>IT</t>
        </is>
      </c>
      <c r="D12" t="inlineStr">
        <is>
          <t>Low</t>
        </is>
      </c>
      <c r="E12" t="inlineStr">
        <is>
          <t>High</t>
        </is>
      </c>
      <c r="F12" t="inlineStr">
        <is>
          <t>Background checks</t>
        </is>
      </c>
      <c r="G12" t="inlineStr">
        <is>
          <t>Open</t>
        </is>
      </c>
      <c r="H12" t="inlineStr">
        <is>
          <t>2024-06-01</t>
        </is>
      </c>
    </row>
    <row r="13">
      <c r="A13" t="inlineStr">
        <is>
          <t>R-12</t>
        </is>
      </c>
      <c r="B13" t="inlineStr">
        <is>
          <t>DDoS</t>
        </is>
      </c>
      <c r="C13" t="inlineStr">
        <is>
          <t>IT</t>
        </is>
      </c>
      <c r="D13" t="inlineStr">
        <is>
          <t>Medium</t>
        </is>
      </c>
      <c r="E13" t="inlineStr">
        <is>
          <t>Medium</t>
        </is>
      </c>
      <c r="F13" t="inlineStr">
        <is>
          <t>Cloudflare</t>
        </is>
      </c>
      <c r="G13" t="inlineStr">
        <is>
          <t>Closed</t>
        </is>
      </c>
      <c r="H13" t="inlineStr">
        <is>
          <t>2024-03-11</t>
        </is>
      </c>
    </row>
    <row r="14">
      <c r="A14" t="inlineStr">
        <is>
          <t>R-13</t>
        </is>
      </c>
      <c r="B14" t="inlineStr">
        <is>
          <t>Physical security</t>
        </is>
      </c>
      <c r="C14" t="inlineStr">
        <is>
          <t>Facilities</t>
        </is>
      </c>
      <c r="D14" t="inlineStr">
        <is>
          <t>Low</t>
        </is>
      </c>
      <c r="E14" t="inlineStr">
        <is>
          <t>Low</t>
        </is>
      </c>
      <c r="F14" t="inlineStr">
        <is>
          <t>Badge access</t>
        </is>
      </c>
      <c r="G14" t="inlineStr">
        <is>
          <t>Open</t>
        </is>
      </c>
      <c r="H14" t="inlineStr">
        <is>
          <t>2023-12-01</t>
        </is>
      </c>
    </row>
    <row r="15">
      <c r="A15" t="inlineStr">
        <is>
          <t>R-14</t>
        </is>
      </c>
      <c r="B15" t="inlineStr">
        <is>
          <t>Phishing</t>
        </is>
      </c>
      <c r="C15" t="inlineStr">
        <is>
          <t>IT</t>
        </is>
      </c>
      <c r="D15" t="inlineStr">
        <is>
          <t>High</t>
        </is>
      </c>
      <c r="E15" t="inlineStr">
        <is>
          <t>Medium</t>
        </is>
      </c>
      <c r="F15" t="inlineStr">
        <is>
          <t>Training</t>
        </is>
      </c>
      <c r="G15" t="inlineStr">
        <is>
          <t>Open</t>
        </is>
      </c>
      <c r="H15" t="inlineStr">
        <is>
          <t>2025-04-02</t>
        </is>
      </c>
    </row>
    <row r="16">
      <c r="A16" t="inlineStr">
        <is>
          <t>R-15</t>
        </is>
      </c>
      <c r="B16" t="inlineStr">
        <is>
          <t>Legacy systems</t>
        </is>
      </c>
      <c r="C16" t="inlineStr">
        <is>
          <t>IT</t>
        </is>
      </c>
      <c r="D16" t="inlineStr">
        <is>
          <t>High</t>
        </is>
      </c>
      <c r="E16" t="inlineStr">
        <is>
          <t>Medium</t>
        </is>
      </c>
      <c r="F16" t="inlineStr">
        <is>
          <t>Roadmap</t>
        </is>
      </c>
      <c r="G16" t="inlineStr">
        <is>
          <t>Open</t>
        </is>
      </c>
      <c r="H16" t="inlineStr">
        <is>
          <t>2024-06-01</t>
        </is>
      </c>
    </row>
    <row r="17">
      <c r="A17" t="inlineStr">
        <is>
          <t>R-16</t>
        </is>
      </c>
      <c r="B17" t="inlineStr">
        <is>
          <t>Third party access</t>
        </is>
      </c>
      <c r="C17" t="inlineStr">
        <is>
          <t>IT</t>
        </is>
      </c>
      <c r="D17" t="inlineStr">
        <is>
          <t>Medium</t>
        </is>
      </c>
      <c r="E17" t="inlineStr">
        <is>
          <t>High</t>
        </is>
      </c>
      <c r="F17" t="inlineStr">
        <is>
          <t>VPN</t>
        </is>
      </c>
      <c r="G17" t="inlineStr">
        <is>
          <t>Open</t>
        </is>
      </c>
      <c r="H17" t="inlineStr">
        <is>
          <t>2024-06-01</t>
        </is>
      </c>
    </row>
    <row r="18">
      <c r="A18" t="inlineStr">
        <is>
          <t>R-17</t>
        </is>
      </c>
      <c r="B18" t="inlineStr">
        <is>
          <t>Change failure</t>
        </is>
      </c>
      <c r="C18" t="inlineStr">
        <is>
          <t>Eng</t>
        </is>
      </c>
      <c r="D18" t="inlineStr">
        <is>
          <t>Medium</t>
        </is>
      </c>
      <c r="E18" t="inlineStr">
        <is>
          <t>Medium</t>
        </is>
      </c>
      <c r="F18" t="inlineStr">
        <is>
          <t>Testing</t>
        </is>
      </c>
      <c r="G18" t="inlineStr">
        <is>
          <t>Open</t>
        </is>
      </c>
      <c r="H18" t="inlineStr">
        <is>
          <t>2025-04-02</t>
        </is>
      </c>
    </row>
    <row r="19">
      <c r="A19" t="inlineStr">
        <is>
          <t>R-18</t>
        </is>
      </c>
      <c r="B19" t="inlineStr">
        <is>
          <t>Backup failure</t>
        </is>
      </c>
      <c r="C19" t="inlineStr">
        <is>
          <t>IT</t>
        </is>
      </c>
      <c r="D19" t="inlineStr">
        <is>
          <t>Low</t>
        </is>
      </c>
      <c r="E19" t="inlineStr">
        <is>
          <t>High</t>
        </is>
      </c>
      <c r="F19" t="inlineStr">
        <is>
          <t>Tapes</t>
        </is>
      </c>
      <c r="G19" t="inlineStr">
        <is>
          <t>Open</t>
        </is>
      </c>
      <c r="H19" t="inlineStr">
        <is>
          <t>2023-08-14</t>
        </is>
      </c>
    </row>
    <row r="20">
      <c r="A20" t="inlineStr">
        <is>
          <t>R-19</t>
        </is>
      </c>
      <c r="B20" t="inlineStr">
        <is>
          <t>AML breach</t>
        </is>
      </c>
      <c r="C20" t="inlineStr">
        <is>
          <t>Compliance</t>
        </is>
      </c>
      <c r="D20" t="inlineStr">
        <is>
          <t>Low</t>
        </is>
      </c>
      <c r="E20" t="inlineStr">
        <is>
          <t>High</t>
        </is>
      </c>
      <c r="F20" t="inlineStr">
        <is>
          <t>Screening</t>
        </is>
      </c>
      <c r="G20" t="inlineStr">
        <is>
          <t>Open</t>
        </is>
      </c>
      <c r="H20" t="inlineStr">
        <is>
          <t>2025-04-02</t>
        </is>
      </c>
    </row>
    <row r="21">
      <c r="A21" t="inlineStr">
        <is>
          <t>R-20</t>
        </is>
      </c>
      <c r="B21" t="inlineStr">
        <is>
          <t>Licence withdrawal</t>
        </is>
      </c>
      <c r="C21" t="inlineStr">
        <is>
          <t>Compliance</t>
        </is>
      </c>
      <c r="D21" t="inlineStr">
        <is>
          <t>Low</t>
        </is>
      </c>
      <c r="E21" t="inlineStr">
        <is>
          <t>High</t>
        </is>
      </c>
      <c r="F21" t="inlineStr">
        <is>
          <t>Good relations</t>
        </is>
      </c>
      <c r="G21" t="inlineStr">
        <is>
          <t>Open</t>
        </is>
      </c>
      <c r="H21" t="inlineStr">
        <is>
          <t>2024-06-01</t>
        </is>
      </c>
    </row>
    <row r="22">
      <c r="A22" t="inlineStr">
        <is>
          <t>R-21</t>
        </is>
      </c>
      <c r="B22" t="inlineStr">
        <is>
          <t>Model risk</t>
        </is>
      </c>
      <c r="C22" t="inlineStr">
        <is>
          <t>Data</t>
        </is>
      </c>
      <c r="D22" t="inlineStr">
        <is>
          <t>Medium</t>
        </is>
      </c>
      <c r="E22" t="inlineStr">
        <is>
          <t>Medium</t>
        </is>
      </c>
      <c r="F22" t="inlineStr">
        <is>
          <t>Monitoring</t>
        </is>
      </c>
      <c r="G22" t="inlineStr">
        <is>
          <t>Open</t>
        </is>
      </c>
      <c r="H22" t="inlineStr">
        <is>
          <t>2025-04-02</t>
        </is>
      </c>
    </row>
    <row r="23">
      <c r="A23" t="inlineStr">
        <is>
          <t>R-22</t>
        </is>
      </c>
      <c r="B23" t="inlineStr">
        <is>
          <t>Concentration risk</t>
        </is>
      </c>
      <c r="C23" t="inlineStr">
        <is>
          <t>Procurement</t>
        </is>
      </c>
      <c r="D23" t="inlineStr">
        <is>
          <t>Medium</t>
        </is>
      </c>
      <c r="E23" t="inlineStr">
        <is>
          <t>High</t>
        </is>
      </c>
      <c r="F23" t="inlineStr">
        <is>
          <t>None</t>
        </is>
      </c>
      <c r="G23" t="inlineStr">
        <is>
          <t>Open</t>
        </is>
      </c>
      <c r="H23" t="inlineStr">
        <is>
          <t>2025-04-02</t>
        </is>
      </c>
    </row>
    <row r="24">
      <c r="A24" t="inlineStr">
        <is>
          <t>R-23</t>
        </is>
      </c>
      <c r="B24" t="inlineStr">
        <is>
          <t>Skills shortage</t>
        </is>
      </c>
      <c r="C24" t="inlineStr">
        <is>
          <t>HR</t>
        </is>
      </c>
      <c r="D24" t="inlineStr">
        <is>
          <t>High</t>
        </is>
      </c>
      <c r="E24" t="inlineStr">
        <is>
          <t>Low</t>
        </is>
      </c>
      <c r="F24" t="inlineStr">
        <is>
          <t>Recruiting</t>
        </is>
      </c>
      <c r="G24" t="inlineStr">
        <is>
          <t>Open</t>
        </is>
      </c>
      <c r="H24" t="inlineStr">
        <is>
          <t>2025-04-02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5" customWidth="1" min="4" max="4"/>
    <col width="20" customWidth="1" min="5" max="5"/>
    <col width="27" customWidth="1" min="6" max="6"/>
    <col width="15" customWidth="1" min="7" max="7"/>
    <col width="25" customWidth="1" min="8" max="8"/>
    <col width="31" customWidth="1" min="9" max="9"/>
    <col width="17" customWidth="1" min="10" max="10"/>
    <col width="27" customWidth="1" min="11" max="11"/>
    <col width="23" customWidth="1" min="12" max="12"/>
    <col width="40" customWidth="1" min="13" max="13"/>
    <col width="33" customWidth="1" min="14" max="14"/>
    <col width="35" customWidth="1" min="15" max="15"/>
    <col width="27" customWidth="1" min="16" max="16"/>
    <col width="23" customWidth="1" min="17" max="17"/>
    <col width="40" customWidth="1" min="18" max="18"/>
    <col width="24" customWidth="1" min="19" max="19"/>
    <col width="20" customWidth="1" min="20" max="20"/>
    <col width="19" customWidth="1" min="21" max="21"/>
    <col width="14" customWidth="1" min="22" max="22"/>
    <col width="13" customWidth="1" min="23" max="23"/>
    <col width="10" customWidth="1" min="24" max="24"/>
    <col width="35" customWidth="1" min="25" max="25"/>
    <col width="40" customWidth="1" min="26" max="26"/>
    <col width="15" customWidth="1" min="27" max="27"/>
    <col width="17" customWidth="1" min="28" max="28"/>
    <col width="20" customWidth="1" min="29" max="29"/>
  </cols>
  <sheetData>
    <row r="1" ht="32" customHeight="1">
      <c r="A1" s="4" t="inlineStr">
        <is>
          <t>risk_id</t>
        </is>
      </c>
      <c r="B1" s="4" t="inlineStr">
        <is>
          <t>risk_title</t>
        </is>
      </c>
      <c r="C1" s="4" t="inlineStr">
        <is>
          <t>risk_statement (Cause -&gt; Event -&gt; Consequence)</t>
        </is>
      </c>
      <c r="D1" s="4" t="inlineStr">
        <is>
          <t>risk_category</t>
        </is>
      </c>
      <c r="E1" s="4" t="inlineStr">
        <is>
          <t>affected_asset_ids</t>
        </is>
      </c>
      <c r="F1" s="4" t="inlineStr">
        <is>
          <t>affected_business_service</t>
        </is>
      </c>
      <c r="G1" s="4" t="inlineStr">
        <is>
          <t>threat_source</t>
        </is>
      </c>
      <c r="H1" s="4" t="inlineStr">
        <is>
          <t>vulnerability_exploited</t>
        </is>
      </c>
      <c r="I1" s="4" t="inlineStr">
        <is>
          <t>risk_owner (named individual)</t>
        </is>
      </c>
      <c r="J1" s="4" t="inlineStr">
        <is>
          <t>date_identified</t>
        </is>
      </c>
      <c r="K1" s="4" t="inlineStr">
        <is>
          <t>inherent_likelihood (1-5)</t>
        </is>
      </c>
      <c r="L1" s="4" t="inlineStr">
        <is>
          <t>inherent_impact (1-5)</t>
        </is>
      </c>
      <c r="M1" s="4" t="inlineStr">
        <is>
          <t>inherent_score</t>
        </is>
      </c>
      <c r="N1" s="4" t="inlineStr">
        <is>
          <t>existing_controls (control IDs)</t>
        </is>
      </c>
      <c r="O1" s="4" t="inlineStr">
        <is>
          <t>control_effectiveness (E/PE/I/NT)</t>
        </is>
      </c>
      <c r="P1" s="4" t="inlineStr">
        <is>
          <t>residual_likelihood (1-5)</t>
        </is>
      </c>
      <c r="Q1" s="4" t="inlineStr">
        <is>
          <t>residual_impact (1-5)</t>
        </is>
      </c>
      <c r="R1" s="4" t="inlineStr">
        <is>
          <t>residual_score</t>
        </is>
      </c>
      <c r="S1" s="4" t="inlineStr">
        <is>
          <t>within_appetite? (Y/N)</t>
        </is>
      </c>
      <c r="T1" s="4" t="inlineStr">
        <is>
          <t>treatment_decision</t>
        </is>
      </c>
      <c r="U1" s="4" t="inlineStr">
        <is>
          <t>treatment_actions</t>
        </is>
      </c>
      <c r="V1" s="4" t="inlineStr">
        <is>
          <t>action_owner</t>
        </is>
      </c>
      <c r="W1" s="4" t="inlineStr">
        <is>
          <t>target_date</t>
        </is>
      </c>
      <c r="X1" s="4" t="inlineStr">
        <is>
          <t>status</t>
        </is>
      </c>
      <c r="Y1" s="4" t="inlineStr">
        <is>
          <t>annual_loss_expectancy_eur (FAIR)</t>
        </is>
      </c>
      <c r="Z1" s="4" t="inlineStr">
        <is>
          <t>regulatory_linkage (DORA/NIS2/GDPR/PCI/ISO/AI Act)</t>
        </is>
      </c>
      <c r="AA1" s="4" t="inlineStr">
        <is>
          <t>last_reviewed</t>
        </is>
      </c>
      <c r="AB1" s="4" t="inlineStr">
        <is>
          <t>next_review_due</t>
        </is>
      </c>
      <c r="AC1" s="4" t="inlineStr">
        <is>
          <t>evidence_reference</t>
        </is>
      </c>
    </row>
    <row r="2">
      <c r="M2">
        <f>IF(AND(K2&lt;&gt;"",L2&lt;&gt;""),K2*L2,"")</f>
        <v/>
      </c>
      <c r="R2">
        <f>IF(AND(P2&lt;&gt;"",Q2&lt;&gt;""),P2*Q2,"")</f>
        <v/>
      </c>
    </row>
    <row r="3">
      <c r="M3">
        <f>IF(AND(K3&lt;&gt;"",L3&lt;&gt;""),K3*L3,"")</f>
        <v/>
      </c>
      <c r="R3">
        <f>IF(AND(P3&lt;&gt;"",Q3&lt;&gt;""),P3*Q3,"")</f>
        <v/>
      </c>
    </row>
    <row r="4">
      <c r="M4">
        <f>IF(AND(K4&lt;&gt;"",L4&lt;&gt;""),K4*L4,"")</f>
        <v/>
      </c>
      <c r="R4">
        <f>IF(AND(P4&lt;&gt;"",Q4&lt;&gt;""),P4*Q4,"")</f>
        <v/>
      </c>
    </row>
    <row r="5">
      <c r="M5">
        <f>IF(AND(K5&lt;&gt;"",L5&lt;&gt;""),K5*L5,"")</f>
        <v/>
      </c>
      <c r="R5">
        <f>IF(AND(P5&lt;&gt;"",Q5&lt;&gt;""),P5*Q5,"")</f>
        <v/>
      </c>
    </row>
    <row r="6">
      <c r="M6">
        <f>IF(AND(K6&lt;&gt;"",L6&lt;&gt;""),K6*L6,"")</f>
        <v/>
      </c>
      <c r="R6">
        <f>IF(AND(P6&lt;&gt;"",Q6&lt;&gt;""),P6*Q6,"")</f>
        <v/>
      </c>
    </row>
    <row r="7">
      <c r="M7">
        <f>IF(AND(K7&lt;&gt;"",L7&lt;&gt;""),K7*L7,"")</f>
        <v/>
      </c>
      <c r="R7">
        <f>IF(AND(P7&lt;&gt;"",Q7&lt;&gt;""),P7*Q7,"")</f>
        <v/>
      </c>
    </row>
    <row r="8">
      <c r="M8">
        <f>IF(AND(K8&lt;&gt;"",L8&lt;&gt;""),K8*L8,"")</f>
        <v/>
      </c>
      <c r="R8">
        <f>IF(AND(P8&lt;&gt;"",Q8&lt;&gt;""),P8*Q8,"")</f>
        <v/>
      </c>
    </row>
    <row r="9">
      <c r="M9">
        <f>IF(AND(K9&lt;&gt;"",L9&lt;&gt;""),K9*L9,"")</f>
        <v/>
      </c>
      <c r="R9">
        <f>IF(AND(P9&lt;&gt;"",Q9&lt;&gt;""),P9*Q9,"")</f>
        <v/>
      </c>
    </row>
    <row r="10">
      <c r="M10">
        <f>IF(AND(K10&lt;&gt;"",L10&lt;&gt;""),K10*L10,"")</f>
        <v/>
      </c>
      <c r="R10">
        <f>IF(AND(P10&lt;&gt;"",Q10&lt;&gt;""),P10*Q10,"")</f>
        <v/>
      </c>
    </row>
    <row r="11">
      <c r="M11">
        <f>IF(AND(K11&lt;&gt;"",L11&lt;&gt;""),K11*L11,"")</f>
        <v/>
      </c>
      <c r="R11">
        <f>IF(AND(P11&lt;&gt;"",Q11&lt;&gt;""),P11*Q11,"")</f>
        <v/>
      </c>
    </row>
    <row r="12">
      <c r="M12">
        <f>IF(AND(K12&lt;&gt;"",L12&lt;&gt;""),K12*L12,"")</f>
        <v/>
      </c>
      <c r="R12">
        <f>IF(AND(P12&lt;&gt;"",Q12&lt;&gt;""),P12*Q12,"")</f>
        <v/>
      </c>
    </row>
    <row r="13">
      <c r="M13">
        <f>IF(AND(K13&lt;&gt;"",L13&lt;&gt;""),K13*L13,"")</f>
        <v/>
      </c>
      <c r="R13">
        <f>IF(AND(P13&lt;&gt;"",Q13&lt;&gt;""),P13*Q13,"")</f>
        <v/>
      </c>
    </row>
    <row r="14">
      <c r="M14">
        <f>IF(AND(K14&lt;&gt;"",L14&lt;&gt;""),K14*L14,"")</f>
        <v/>
      </c>
      <c r="R14">
        <f>IF(AND(P14&lt;&gt;"",Q14&lt;&gt;""),P14*Q14,"")</f>
        <v/>
      </c>
    </row>
    <row r="15">
      <c r="M15">
        <f>IF(AND(K15&lt;&gt;"",L15&lt;&gt;""),K15*L15,"")</f>
        <v/>
      </c>
      <c r="R15">
        <f>IF(AND(P15&lt;&gt;"",Q15&lt;&gt;""),P15*Q15,"")</f>
        <v/>
      </c>
    </row>
    <row r="16">
      <c r="M16">
        <f>IF(AND(K16&lt;&gt;"",L16&lt;&gt;""),K16*L16,"")</f>
        <v/>
      </c>
      <c r="R16">
        <f>IF(AND(P16&lt;&gt;"",Q16&lt;&gt;""),P16*Q16,"")</f>
        <v/>
      </c>
    </row>
    <row r="17">
      <c r="M17">
        <f>IF(AND(K17&lt;&gt;"",L17&lt;&gt;""),K17*L17,"")</f>
        <v/>
      </c>
      <c r="R17">
        <f>IF(AND(P17&lt;&gt;"",Q17&lt;&gt;""),P17*Q17,"")</f>
        <v/>
      </c>
    </row>
    <row r="18">
      <c r="M18">
        <f>IF(AND(K18&lt;&gt;"",L18&lt;&gt;""),K18*L18,"")</f>
        <v/>
      </c>
      <c r="R18">
        <f>IF(AND(P18&lt;&gt;"",Q18&lt;&gt;""),P18*Q18,"")</f>
        <v/>
      </c>
    </row>
    <row r="19">
      <c r="M19">
        <f>IF(AND(K19&lt;&gt;"",L19&lt;&gt;""),K19*L19,"")</f>
        <v/>
      </c>
      <c r="R19">
        <f>IF(AND(P19&lt;&gt;"",Q19&lt;&gt;""),P19*Q19,"")</f>
        <v/>
      </c>
    </row>
    <row r="20">
      <c r="M20">
        <f>IF(AND(K20&lt;&gt;"",L20&lt;&gt;""),K20*L20,"")</f>
        <v/>
      </c>
      <c r="R20">
        <f>IF(AND(P20&lt;&gt;"",Q20&lt;&gt;""),P20*Q20,"")</f>
        <v/>
      </c>
    </row>
    <row r="21">
      <c r="M21">
        <f>IF(AND(K21&lt;&gt;"",L21&lt;&gt;""),K21*L21,"")</f>
        <v/>
      </c>
      <c r="R21">
        <f>IF(AND(P21&lt;&gt;"",Q21&lt;&gt;""),P21*Q21,"")</f>
        <v/>
      </c>
    </row>
    <row r="22">
      <c r="M22">
        <f>IF(AND(K22&lt;&gt;"",L22&lt;&gt;""),K22*L22,"")</f>
        <v/>
      </c>
      <c r="R22">
        <f>IF(AND(P22&lt;&gt;"",Q22&lt;&gt;""),P22*Q22,"")</f>
        <v/>
      </c>
    </row>
    <row r="23">
      <c r="M23">
        <f>IF(AND(K23&lt;&gt;"",L23&lt;&gt;""),K23*L23,"")</f>
        <v/>
      </c>
      <c r="R23">
        <f>IF(AND(P23&lt;&gt;"",Q23&lt;&gt;""),P23*Q23,"")</f>
        <v/>
      </c>
    </row>
    <row r="24">
      <c r="M24">
        <f>IF(AND(K24&lt;&gt;"",L24&lt;&gt;""),K24*L24,"")</f>
        <v/>
      </c>
      <c r="R24">
        <f>IF(AND(P24&lt;&gt;"",Q24&lt;&gt;""),P24*Q24,"")</f>
        <v/>
      </c>
    </row>
    <row r="25">
      <c r="M25">
        <f>IF(AND(K25&lt;&gt;"",L25&lt;&gt;""),K25*L25,"")</f>
        <v/>
      </c>
      <c r="R25">
        <f>IF(AND(P25&lt;&gt;"",Q25&lt;&gt;""),P25*Q25,"")</f>
        <v/>
      </c>
    </row>
    <row r="26">
      <c r="M26">
        <f>IF(AND(K26&lt;&gt;"",L26&lt;&gt;""),K26*L26,"")</f>
        <v/>
      </c>
      <c r="R26">
        <f>IF(AND(P26&lt;&gt;"",Q26&lt;&gt;""),P26*Q26,"")</f>
        <v/>
      </c>
    </row>
    <row r="27">
      <c r="M27">
        <f>IF(AND(K27&lt;&gt;"",L27&lt;&gt;""),K27*L27,"")</f>
        <v/>
      </c>
      <c r="R27">
        <f>IF(AND(P27&lt;&gt;"",Q27&lt;&gt;""),P27*Q27,"")</f>
        <v/>
      </c>
    </row>
    <row r="28">
      <c r="M28">
        <f>IF(AND(K28&lt;&gt;"",L28&lt;&gt;""),K28*L28,"")</f>
        <v/>
      </c>
      <c r="R28">
        <f>IF(AND(P28&lt;&gt;"",Q28&lt;&gt;""),P28*Q28,"")</f>
        <v/>
      </c>
    </row>
    <row r="29">
      <c r="M29">
        <f>IF(AND(K29&lt;&gt;"",L29&lt;&gt;""),K29*L29,"")</f>
        <v/>
      </c>
      <c r="R29">
        <f>IF(AND(P29&lt;&gt;"",Q29&lt;&gt;""),P29*Q29,"")</f>
        <v/>
      </c>
    </row>
    <row r="30">
      <c r="M30">
        <f>IF(AND(K30&lt;&gt;"",L30&lt;&gt;""),K30*L30,"")</f>
        <v/>
      </c>
      <c r="R30">
        <f>IF(AND(P30&lt;&gt;"",Q30&lt;&gt;""),P30*Q30,"")</f>
        <v/>
      </c>
    </row>
    <row r="31">
      <c r="M31">
        <f>IF(AND(K31&lt;&gt;"",L31&lt;&gt;""),K31*L31,"")</f>
        <v/>
      </c>
      <c r="R31">
        <f>IF(AND(P31&lt;&gt;"",Q31&lt;&gt;""),P31*Q31,"")</f>
        <v/>
      </c>
    </row>
    <row r="32">
      <c r="M32">
        <f>IF(AND(K32&lt;&gt;"",L32&lt;&gt;""),K32*L32,"")</f>
        <v/>
      </c>
      <c r="R32">
        <f>IF(AND(P32&lt;&gt;"",Q32&lt;&gt;""),P32*Q32,"")</f>
        <v/>
      </c>
    </row>
    <row r="33">
      <c r="M33">
        <f>IF(AND(K33&lt;&gt;"",L33&lt;&gt;""),K33*L33,"")</f>
        <v/>
      </c>
      <c r="R33">
        <f>IF(AND(P33&lt;&gt;"",Q33&lt;&gt;""),P33*Q33,"")</f>
        <v/>
      </c>
    </row>
    <row r="34">
      <c r="M34">
        <f>IF(AND(K34&lt;&gt;"",L34&lt;&gt;""),K34*L34,"")</f>
        <v/>
      </c>
      <c r="R34">
        <f>IF(AND(P34&lt;&gt;"",Q34&lt;&gt;""),P34*Q34,"")</f>
        <v/>
      </c>
    </row>
    <row r="35">
      <c r="M35">
        <f>IF(AND(K35&lt;&gt;"",L35&lt;&gt;""),K35*L35,"")</f>
        <v/>
      </c>
      <c r="R35">
        <f>IF(AND(P35&lt;&gt;"",Q35&lt;&gt;""),P35*Q35,"")</f>
        <v/>
      </c>
    </row>
    <row r="36">
      <c r="M36">
        <f>IF(AND(K36&lt;&gt;"",L36&lt;&gt;""),K36*L36,"")</f>
        <v/>
      </c>
      <c r="R36">
        <f>IF(AND(P36&lt;&gt;"",Q36&lt;&gt;""),P36*Q36,"")</f>
        <v/>
      </c>
    </row>
    <row r="37">
      <c r="M37">
        <f>IF(AND(K37&lt;&gt;"",L37&lt;&gt;""),K37*L37,"")</f>
        <v/>
      </c>
      <c r="R37">
        <f>IF(AND(P37&lt;&gt;"",Q37&lt;&gt;""),P37*Q37,"")</f>
        <v/>
      </c>
    </row>
    <row r="38">
      <c r="M38">
        <f>IF(AND(K38&lt;&gt;"",L38&lt;&gt;""),K38*L38,"")</f>
        <v/>
      </c>
      <c r="R38">
        <f>IF(AND(P38&lt;&gt;"",Q38&lt;&gt;""),P38*Q38,"")</f>
        <v/>
      </c>
    </row>
    <row r="39">
      <c r="M39">
        <f>IF(AND(K39&lt;&gt;"",L39&lt;&gt;""),K39*L39,"")</f>
        <v/>
      </c>
      <c r="R39">
        <f>IF(AND(P39&lt;&gt;"",Q39&lt;&gt;""),P39*Q39,"")</f>
        <v/>
      </c>
    </row>
    <row r="40">
      <c r="M40">
        <f>IF(AND(K40&lt;&gt;"",L40&lt;&gt;""),K40*L40,"")</f>
        <v/>
      </c>
      <c r="R40">
        <f>IF(AND(P40&lt;&gt;"",Q40&lt;&gt;""),P40*Q40,"")</f>
        <v/>
      </c>
    </row>
    <row r="41">
      <c r="M41">
        <f>IF(AND(K41&lt;&gt;"",L41&lt;&gt;""),K41*L41,"")</f>
        <v/>
      </c>
      <c r="R41">
        <f>IF(AND(P41&lt;&gt;"",Q41&lt;&gt;""),P41*Q41,"")</f>
        <v/>
      </c>
    </row>
    <row r="42">
      <c r="M42">
        <f>IF(AND(K42&lt;&gt;"",L42&lt;&gt;""),K42*L42,"")</f>
        <v/>
      </c>
      <c r="R42">
        <f>IF(AND(P42&lt;&gt;"",Q42&lt;&gt;""),P42*Q42,"")</f>
        <v/>
      </c>
    </row>
    <row r="43">
      <c r="M43">
        <f>IF(AND(K43&lt;&gt;"",L43&lt;&gt;""),K43*L43,"")</f>
        <v/>
      </c>
      <c r="R43">
        <f>IF(AND(P43&lt;&gt;"",Q43&lt;&gt;""),P43*Q43,"")</f>
        <v/>
      </c>
    </row>
    <row r="44">
      <c r="M44">
        <f>IF(AND(K44&lt;&gt;"",L44&lt;&gt;""),K44*L44,"")</f>
        <v/>
      </c>
      <c r="R44">
        <f>IF(AND(P44&lt;&gt;"",Q44&lt;&gt;""),P44*Q44,"")</f>
        <v/>
      </c>
    </row>
    <row r="45">
      <c r="M45">
        <f>IF(AND(K45&lt;&gt;"",L45&lt;&gt;""),K45*L45,"")</f>
        <v/>
      </c>
      <c r="R45">
        <f>IF(AND(P45&lt;&gt;"",Q45&lt;&gt;""),P45*Q45,"")</f>
        <v/>
      </c>
    </row>
    <row r="46">
      <c r="M46">
        <f>IF(AND(K46&lt;&gt;"",L46&lt;&gt;""),K46*L46,"")</f>
        <v/>
      </c>
      <c r="R46">
        <f>IF(AND(P46&lt;&gt;"",Q46&lt;&gt;""),P46*Q46,"")</f>
        <v/>
      </c>
    </row>
    <row r="47">
      <c r="M47">
        <f>IF(AND(K47&lt;&gt;"",L47&lt;&gt;""),K47*L47,"")</f>
        <v/>
      </c>
      <c r="R47">
        <f>IF(AND(P47&lt;&gt;"",Q47&lt;&gt;""),P47*Q47,"")</f>
        <v/>
      </c>
    </row>
    <row r="48">
      <c r="M48">
        <f>IF(AND(K48&lt;&gt;"",L48&lt;&gt;""),K48*L48,"")</f>
        <v/>
      </c>
      <c r="R48">
        <f>IF(AND(P48&lt;&gt;"",Q48&lt;&gt;""),P48*Q48,"")</f>
        <v/>
      </c>
    </row>
    <row r="49">
      <c r="M49">
        <f>IF(AND(K49&lt;&gt;"",L49&lt;&gt;""),K49*L49,"")</f>
        <v/>
      </c>
      <c r="R49">
        <f>IF(AND(P49&lt;&gt;"",Q49&lt;&gt;""),P49*Q49,"")</f>
        <v/>
      </c>
    </row>
    <row r="50">
      <c r="M50">
        <f>IF(AND(K50&lt;&gt;"",L50&lt;&gt;""),K50*L50,"")</f>
        <v/>
      </c>
      <c r="R50">
        <f>IF(AND(P50&lt;&gt;"",Q50&lt;&gt;""),P50*Q50,"")</f>
        <v/>
      </c>
    </row>
    <row r="51">
      <c r="M51">
        <f>IF(AND(K51&lt;&gt;"",L51&lt;&gt;""),K51*L51,"")</f>
        <v/>
      </c>
      <c r="R51">
        <f>IF(AND(P51&lt;&gt;"",Q51&lt;&gt;""),P51*Q51,"")</f>
        <v/>
      </c>
    </row>
    <row r="52">
      <c r="M52">
        <f>IF(AND(K52&lt;&gt;"",L52&lt;&gt;""),K52*L52,"")</f>
        <v/>
      </c>
      <c r="R52">
        <f>IF(AND(P52&lt;&gt;"",Q52&lt;&gt;""),P52*Q52,"")</f>
        <v/>
      </c>
    </row>
    <row r="53">
      <c r="M53">
        <f>IF(AND(K53&lt;&gt;"",L53&lt;&gt;""),K53*L53,"")</f>
        <v/>
      </c>
      <c r="R53">
        <f>IF(AND(P53&lt;&gt;"",Q53&lt;&gt;""),P53*Q53,"")</f>
        <v/>
      </c>
    </row>
    <row r="54">
      <c r="M54">
        <f>IF(AND(K54&lt;&gt;"",L54&lt;&gt;""),K54*L54,"")</f>
        <v/>
      </c>
      <c r="R54">
        <f>IF(AND(P54&lt;&gt;"",Q54&lt;&gt;""),P54*Q54,"")</f>
        <v/>
      </c>
    </row>
    <row r="55">
      <c r="M55">
        <f>IF(AND(K55&lt;&gt;"",L55&lt;&gt;""),K55*L55,"")</f>
        <v/>
      </c>
      <c r="R55">
        <f>IF(AND(P55&lt;&gt;"",Q55&lt;&gt;""),P55*Q55,"")</f>
        <v/>
      </c>
    </row>
    <row r="56">
      <c r="M56">
        <f>IF(AND(K56&lt;&gt;"",L56&lt;&gt;""),K56*L56,"")</f>
        <v/>
      </c>
      <c r="R56">
        <f>IF(AND(P56&lt;&gt;"",Q56&lt;&gt;""),P56*Q56,"")</f>
        <v/>
      </c>
    </row>
    <row r="57">
      <c r="M57">
        <f>IF(AND(K57&lt;&gt;"",L57&lt;&gt;""),K57*L57,"")</f>
        <v/>
      </c>
      <c r="R57">
        <f>IF(AND(P57&lt;&gt;"",Q57&lt;&gt;""),P57*Q57,"")</f>
        <v/>
      </c>
    </row>
    <row r="58">
      <c r="M58">
        <f>IF(AND(K58&lt;&gt;"",L58&lt;&gt;""),K58*L58,"")</f>
        <v/>
      </c>
      <c r="R58">
        <f>IF(AND(P58&lt;&gt;"",Q58&lt;&gt;""),P58*Q58,"")</f>
        <v/>
      </c>
    </row>
    <row r="59">
      <c r="M59">
        <f>IF(AND(K59&lt;&gt;"",L59&lt;&gt;""),K59*L59,"")</f>
        <v/>
      </c>
      <c r="R59">
        <f>IF(AND(P59&lt;&gt;"",Q59&lt;&gt;""),P59*Q59,"")</f>
        <v/>
      </c>
    </row>
    <row r="60">
      <c r="M60">
        <f>IF(AND(K60&lt;&gt;"",L60&lt;&gt;""),K60*L60,"")</f>
        <v/>
      </c>
      <c r="R60">
        <f>IF(AND(P60&lt;&gt;"",Q60&lt;&gt;""),P60*Q60,"")</f>
        <v/>
      </c>
    </row>
    <row r="61">
      <c r="M61">
        <f>IF(AND(K61&lt;&gt;"",L61&lt;&gt;""),K61*L61,"")</f>
        <v/>
      </c>
      <c r="R61">
        <f>IF(AND(P61&lt;&gt;"",Q61&lt;&gt;""),P61*Q61,"")</f>
        <v/>
      </c>
    </row>
    <row r="62">
      <c r="M62">
        <f>IF(AND(K62&lt;&gt;"",L62&lt;&gt;""),K62*L62,"")</f>
        <v/>
      </c>
      <c r="R62">
        <f>IF(AND(P62&lt;&gt;"",Q62&lt;&gt;""),P62*Q62,"")</f>
        <v/>
      </c>
    </row>
    <row r="63">
      <c r="M63">
        <f>IF(AND(K63&lt;&gt;"",L63&lt;&gt;""),K63*L63,"")</f>
        <v/>
      </c>
      <c r="R63">
        <f>IF(AND(P63&lt;&gt;"",Q63&lt;&gt;""),P63*Q63,"")</f>
        <v/>
      </c>
    </row>
    <row r="64">
      <c r="M64">
        <f>IF(AND(K64&lt;&gt;"",L64&lt;&gt;""),K64*L64,"")</f>
        <v/>
      </c>
      <c r="R64">
        <f>IF(AND(P64&lt;&gt;"",Q64&lt;&gt;""),P64*Q64,"")</f>
        <v/>
      </c>
    </row>
    <row r="65">
      <c r="M65">
        <f>IF(AND(K65&lt;&gt;"",L65&lt;&gt;""),K65*L65,"")</f>
        <v/>
      </c>
      <c r="R65">
        <f>IF(AND(P65&lt;&gt;"",Q65&lt;&gt;""),P65*Q65,"")</f>
        <v/>
      </c>
    </row>
    <row r="66">
      <c r="M66">
        <f>IF(AND(K66&lt;&gt;"",L66&lt;&gt;""),K66*L66,"")</f>
        <v/>
      </c>
      <c r="R66">
        <f>IF(AND(P66&lt;&gt;"",Q66&lt;&gt;""),P66*Q66,"")</f>
        <v/>
      </c>
    </row>
    <row r="67">
      <c r="M67">
        <f>IF(AND(K67&lt;&gt;"",L67&lt;&gt;""),K67*L67,"")</f>
        <v/>
      </c>
      <c r="R67">
        <f>IF(AND(P67&lt;&gt;"",Q67&lt;&gt;""),P67*Q67,"")</f>
        <v/>
      </c>
    </row>
    <row r="68">
      <c r="M68">
        <f>IF(AND(K68&lt;&gt;"",L68&lt;&gt;""),K68*L68,"")</f>
        <v/>
      </c>
      <c r="R68">
        <f>IF(AND(P68&lt;&gt;"",Q68&lt;&gt;""),P68*Q68,"")</f>
        <v/>
      </c>
    </row>
    <row r="69">
      <c r="M69">
        <f>IF(AND(K69&lt;&gt;"",L69&lt;&gt;""),K69*L69,"")</f>
        <v/>
      </c>
      <c r="R69">
        <f>IF(AND(P69&lt;&gt;"",Q69&lt;&gt;""),P69*Q69,"")</f>
        <v/>
      </c>
    </row>
    <row r="70">
      <c r="M70">
        <f>IF(AND(K70&lt;&gt;"",L70&lt;&gt;""),K70*L70,"")</f>
        <v/>
      </c>
      <c r="R70">
        <f>IF(AND(P70&lt;&gt;"",Q70&lt;&gt;""),P70*Q70,"")</f>
        <v/>
      </c>
    </row>
    <row r="71">
      <c r="M71">
        <f>IF(AND(K71&lt;&gt;"",L71&lt;&gt;""),K71*L71,"")</f>
        <v/>
      </c>
      <c r="R71">
        <f>IF(AND(P71&lt;&gt;"",Q71&lt;&gt;""),P71*Q71,"")</f>
        <v/>
      </c>
    </row>
    <row r="72">
      <c r="M72">
        <f>IF(AND(K72&lt;&gt;"",L72&lt;&gt;""),K72*L72,"")</f>
        <v/>
      </c>
      <c r="R72">
        <f>IF(AND(P72&lt;&gt;"",Q72&lt;&gt;""),P72*Q72,"")</f>
        <v/>
      </c>
    </row>
    <row r="73">
      <c r="M73">
        <f>IF(AND(K73&lt;&gt;"",L73&lt;&gt;""),K73*L73,"")</f>
        <v/>
      </c>
      <c r="R73">
        <f>IF(AND(P73&lt;&gt;"",Q73&lt;&gt;""),P73*Q73,"")</f>
        <v/>
      </c>
    </row>
    <row r="74">
      <c r="M74">
        <f>IF(AND(K74&lt;&gt;"",L74&lt;&gt;""),K74*L74,"")</f>
        <v/>
      </c>
      <c r="R74">
        <f>IF(AND(P74&lt;&gt;"",Q74&lt;&gt;""),P74*Q74,"")</f>
        <v/>
      </c>
    </row>
    <row r="75">
      <c r="M75">
        <f>IF(AND(K75&lt;&gt;"",L75&lt;&gt;""),K75*L75,"")</f>
        <v/>
      </c>
      <c r="R75">
        <f>IF(AND(P75&lt;&gt;"",Q75&lt;&gt;""),P75*Q75,"")</f>
        <v/>
      </c>
    </row>
    <row r="76">
      <c r="M76">
        <f>IF(AND(K76&lt;&gt;"",L76&lt;&gt;""),K76*L76,"")</f>
        <v/>
      </c>
      <c r="R76">
        <f>IF(AND(P76&lt;&gt;"",Q76&lt;&gt;""),P76*Q76,"")</f>
        <v/>
      </c>
    </row>
    <row r="77">
      <c r="M77">
        <f>IF(AND(K77&lt;&gt;"",L77&lt;&gt;""),K77*L77,"")</f>
        <v/>
      </c>
      <c r="R77">
        <f>IF(AND(P77&lt;&gt;"",Q77&lt;&gt;""),P77*Q77,"")</f>
        <v/>
      </c>
    </row>
    <row r="78">
      <c r="M78">
        <f>IF(AND(K78&lt;&gt;"",L78&lt;&gt;""),K78*L78,"")</f>
        <v/>
      </c>
      <c r="R78">
        <f>IF(AND(P78&lt;&gt;"",Q78&lt;&gt;""),P78*Q78,"")</f>
        <v/>
      </c>
    </row>
    <row r="79">
      <c r="M79">
        <f>IF(AND(K79&lt;&gt;"",L79&lt;&gt;""),K79*L79,"")</f>
        <v/>
      </c>
      <c r="R79">
        <f>IF(AND(P79&lt;&gt;"",Q79&lt;&gt;""),P79*Q79,"")</f>
        <v/>
      </c>
    </row>
    <row r="80">
      <c r="M80">
        <f>IF(AND(K80&lt;&gt;"",L80&lt;&gt;""),K80*L80,"")</f>
        <v/>
      </c>
      <c r="R80">
        <f>IF(AND(P80&lt;&gt;"",Q80&lt;&gt;""),P80*Q80,"")</f>
        <v/>
      </c>
    </row>
    <row r="81">
      <c r="M81">
        <f>IF(AND(K81&lt;&gt;"",L81&lt;&gt;""),K81*L81,"")</f>
        <v/>
      </c>
      <c r="R81">
        <f>IF(AND(P81&lt;&gt;"",Q81&lt;&gt;""),P81*Q81,"")</f>
        <v/>
      </c>
    </row>
    <row r="82">
      <c r="M82">
        <f>IF(AND(K82&lt;&gt;"",L82&lt;&gt;""),K82*L82,"")</f>
        <v/>
      </c>
      <c r="R82">
        <f>IF(AND(P82&lt;&gt;"",Q82&lt;&gt;""),P82*Q82,"")</f>
        <v/>
      </c>
    </row>
    <row r="83">
      <c r="M83">
        <f>IF(AND(K83&lt;&gt;"",L83&lt;&gt;""),K83*L83,"")</f>
        <v/>
      </c>
      <c r="R83">
        <f>IF(AND(P83&lt;&gt;"",Q83&lt;&gt;""),P83*Q83,"")</f>
        <v/>
      </c>
    </row>
    <row r="84">
      <c r="M84">
        <f>IF(AND(K84&lt;&gt;"",L84&lt;&gt;""),K84*L84,"")</f>
        <v/>
      </c>
      <c r="R84">
        <f>IF(AND(P84&lt;&gt;"",Q84&lt;&gt;""),P84*Q84,"")</f>
        <v/>
      </c>
    </row>
    <row r="85">
      <c r="M85">
        <f>IF(AND(K85&lt;&gt;"",L85&lt;&gt;""),K85*L85,"")</f>
        <v/>
      </c>
      <c r="R85">
        <f>IF(AND(P85&lt;&gt;"",Q85&lt;&gt;""),P85*Q85,"")</f>
        <v/>
      </c>
    </row>
    <row r="86">
      <c r="M86">
        <f>IF(AND(K86&lt;&gt;"",L86&lt;&gt;""),K86*L86,"")</f>
        <v/>
      </c>
      <c r="R86">
        <f>IF(AND(P86&lt;&gt;"",Q86&lt;&gt;""),P86*Q86,"")</f>
        <v/>
      </c>
    </row>
    <row r="87">
      <c r="M87">
        <f>IF(AND(K87&lt;&gt;"",L87&lt;&gt;""),K87*L87,"")</f>
        <v/>
      </c>
      <c r="R87">
        <f>IF(AND(P87&lt;&gt;"",Q87&lt;&gt;""),P87*Q87,"")</f>
        <v/>
      </c>
    </row>
    <row r="88">
      <c r="M88">
        <f>IF(AND(K88&lt;&gt;"",L88&lt;&gt;""),K88*L88,"")</f>
        <v/>
      </c>
      <c r="R88">
        <f>IF(AND(P88&lt;&gt;"",Q88&lt;&gt;""),P88*Q88,"")</f>
        <v/>
      </c>
    </row>
    <row r="89">
      <c r="M89">
        <f>IF(AND(K89&lt;&gt;"",L89&lt;&gt;""),K89*L89,"")</f>
        <v/>
      </c>
      <c r="R89">
        <f>IF(AND(P89&lt;&gt;"",Q89&lt;&gt;""),P89*Q89,"")</f>
        <v/>
      </c>
    </row>
    <row r="90">
      <c r="M90">
        <f>IF(AND(K90&lt;&gt;"",L90&lt;&gt;""),K90*L90,"")</f>
        <v/>
      </c>
      <c r="R90">
        <f>IF(AND(P90&lt;&gt;"",Q90&lt;&gt;""),P90*Q90,"")</f>
        <v/>
      </c>
    </row>
    <row r="91">
      <c r="M91">
        <f>IF(AND(K91&lt;&gt;"",L91&lt;&gt;""),K91*L91,"")</f>
        <v/>
      </c>
      <c r="R91">
        <f>IF(AND(P91&lt;&gt;"",Q91&lt;&gt;""),P91*Q91,"")</f>
        <v/>
      </c>
    </row>
    <row r="92">
      <c r="M92">
        <f>IF(AND(K92&lt;&gt;"",L92&lt;&gt;""),K92*L92,"")</f>
        <v/>
      </c>
      <c r="R92">
        <f>IF(AND(P92&lt;&gt;"",Q92&lt;&gt;""),P92*Q92,"")</f>
        <v/>
      </c>
    </row>
    <row r="93">
      <c r="M93">
        <f>IF(AND(K93&lt;&gt;"",L93&lt;&gt;""),K93*L93,"")</f>
        <v/>
      </c>
      <c r="R93">
        <f>IF(AND(P93&lt;&gt;"",Q93&lt;&gt;""),P93*Q93,"")</f>
        <v/>
      </c>
    </row>
    <row r="94">
      <c r="M94">
        <f>IF(AND(K94&lt;&gt;"",L94&lt;&gt;""),K94*L94,"")</f>
        <v/>
      </c>
      <c r="R94">
        <f>IF(AND(P94&lt;&gt;"",Q94&lt;&gt;""),P94*Q94,"")</f>
        <v/>
      </c>
    </row>
    <row r="95">
      <c r="M95">
        <f>IF(AND(K95&lt;&gt;"",L95&lt;&gt;""),K95*L95,"")</f>
        <v/>
      </c>
      <c r="R95">
        <f>IF(AND(P95&lt;&gt;"",Q95&lt;&gt;""),P95*Q95,"")</f>
        <v/>
      </c>
    </row>
    <row r="96">
      <c r="M96">
        <f>IF(AND(K96&lt;&gt;"",L96&lt;&gt;""),K96*L96,"")</f>
        <v/>
      </c>
      <c r="R96">
        <f>IF(AND(P96&lt;&gt;"",Q96&lt;&gt;""),P96*Q96,"")</f>
        <v/>
      </c>
    </row>
    <row r="97">
      <c r="M97">
        <f>IF(AND(K97&lt;&gt;"",L97&lt;&gt;""),K97*L97,"")</f>
        <v/>
      </c>
      <c r="R97">
        <f>IF(AND(P97&lt;&gt;"",Q97&lt;&gt;""),P97*Q97,"")</f>
        <v/>
      </c>
    </row>
    <row r="98">
      <c r="M98">
        <f>IF(AND(K98&lt;&gt;"",L98&lt;&gt;""),K98*L98,"")</f>
        <v/>
      </c>
      <c r="R98">
        <f>IF(AND(P98&lt;&gt;"",Q98&lt;&gt;""),P98*Q98,"")</f>
        <v/>
      </c>
    </row>
    <row r="99">
      <c r="M99">
        <f>IF(AND(K99&lt;&gt;"",L99&lt;&gt;""),K99*L99,"")</f>
        <v/>
      </c>
      <c r="R99">
        <f>IF(AND(P99&lt;&gt;"",Q99&lt;&gt;""),P99*Q99,"")</f>
        <v/>
      </c>
    </row>
    <row r="100">
      <c r="M100">
        <f>IF(AND(K100&lt;&gt;"",L100&lt;&gt;""),K100*L100,"")</f>
        <v/>
      </c>
      <c r="R100">
        <f>IF(AND(P100&lt;&gt;"",Q100&lt;&gt;""),P100*Q100,"")</f>
        <v/>
      </c>
    </row>
    <row r="101">
      <c r="M101">
        <f>IF(AND(K101&lt;&gt;"",L101&lt;&gt;""),K101*L101,"")</f>
        <v/>
      </c>
      <c r="R101">
        <f>IF(AND(P101&lt;&gt;"",Q101&lt;&gt;""),P101*Q101,"")</f>
        <v/>
      </c>
    </row>
    <row r="102">
      <c r="M102">
        <f>IF(AND(K102&lt;&gt;"",L102&lt;&gt;""),K102*L102,"")</f>
        <v/>
      </c>
      <c r="R102">
        <f>IF(AND(P102&lt;&gt;"",Q102&lt;&gt;""),P102*Q102,"")</f>
        <v/>
      </c>
    </row>
    <row r="103">
      <c r="M103">
        <f>IF(AND(K103&lt;&gt;"",L103&lt;&gt;""),K103*L103,"")</f>
        <v/>
      </c>
      <c r="R103">
        <f>IF(AND(P103&lt;&gt;"",Q103&lt;&gt;""),P103*Q103,"")</f>
        <v/>
      </c>
    </row>
    <row r="104">
      <c r="M104">
        <f>IF(AND(K104&lt;&gt;"",L104&lt;&gt;""),K104*L104,"")</f>
        <v/>
      </c>
      <c r="R104">
        <f>IF(AND(P104&lt;&gt;"",Q104&lt;&gt;""),P104*Q104,"")</f>
        <v/>
      </c>
    </row>
    <row r="105">
      <c r="M105">
        <f>IF(AND(K105&lt;&gt;"",L105&lt;&gt;""),K105*L105,"")</f>
        <v/>
      </c>
      <c r="R105">
        <f>IF(AND(P105&lt;&gt;"",Q105&lt;&gt;""),P105*Q105,"")</f>
        <v/>
      </c>
    </row>
    <row r="106">
      <c r="M106">
        <f>IF(AND(K106&lt;&gt;"",L106&lt;&gt;""),K106*L106,"")</f>
        <v/>
      </c>
      <c r="R106">
        <f>IF(AND(P106&lt;&gt;"",Q106&lt;&gt;""),P106*Q106,"")</f>
        <v/>
      </c>
    </row>
    <row r="107">
      <c r="M107">
        <f>IF(AND(K107&lt;&gt;"",L107&lt;&gt;""),K107*L107,"")</f>
        <v/>
      </c>
      <c r="R107">
        <f>IF(AND(P107&lt;&gt;"",Q107&lt;&gt;""),P107*Q107,"")</f>
        <v/>
      </c>
    </row>
    <row r="108">
      <c r="M108">
        <f>IF(AND(K108&lt;&gt;"",L108&lt;&gt;""),K108*L108,"")</f>
        <v/>
      </c>
      <c r="R108">
        <f>IF(AND(P108&lt;&gt;"",Q108&lt;&gt;""),P108*Q108,"")</f>
        <v/>
      </c>
    </row>
    <row r="109">
      <c r="M109">
        <f>IF(AND(K109&lt;&gt;"",L109&lt;&gt;""),K109*L109,"")</f>
        <v/>
      </c>
      <c r="R109">
        <f>IF(AND(P109&lt;&gt;"",Q109&lt;&gt;""),P109*Q109,"")</f>
        <v/>
      </c>
    </row>
    <row r="110">
      <c r="M110">
        <f>IF(AND(K110&lt;&gt;"",L110&lt;&gt;""),K110*L110,"")</f>
        <v/>
      </c>
      <c r="R110">
        <f>IF(AND(P110&lt;&gt;"",Q110&lt;&gt;""),P110*Q110,"")</f>
        <v/>
      </c>
    </row>
    <row r="111">
      <c r="M111">
        <f>IF(AND(K111&lt;&gt;"",L111&lt;&gt;""),K111*L111,"")</f>
        <v/>
      </c>
      <c r="R111">
        <f>IF(AND(P111&lt;&gt;"",Q111&lt;&gt;""),P111*Q111,"")</f>
        <v/>
      </c>
    </row>
    <row r="112">
      <c r="M112">
        <f>IF(AND(K112&lt;&gt;"",L112&lt;&gt;""),K112*L112,"")</f>
        <v/>
      </c>
      <c r="R112">
        <f>IF(AND(P112&lt;&gt;"",Q112&lt;&gt;""),P112*Q112,"")</f>
        <v/>
      </c>
    </row>
    <row r="113">
      <c r="M113">
        <f>IF(AND(K113&lt;&gt;"",L113&lt;&gt;""),K113*L113,"")</f>
        <v/>
      </c>
      <c r="R113">
        <f>IF(AND(P113&lt;&gt;"",Q113&lt;&gt;""),P113*Q113,"")</f>
        <v/>
      </c>
    </row>
    <row r="114">
      <c r="M114">
        <f>IF(AND(K114&lt;&gt;"",L114&lt;&gt;""),K114*L114,"")</f>
        <v/>
      </c>
      <c r="R114">
        <f>IF(AND(P114&lt;&gt;"",Q114&lt;&gt;""),P114*Q114,"")</f>
        <v/>
      </c>
    </row>
    <row r="115">
      <c r="M115">
        <f>IF(AND(K115&lt;&gt;"",L115&lt;&gt;""),K115*L115,"")</f>
        <v/>
      </c>
      <c r="R115">
        <f>IF(AND(P115&lt;&gt;"",Q115&lt;&gt;""),P115*Q115,"")</f>
        <v/>
      </c>
    </row>
    <row r="116">
      <c r="M116">
        <f>IF(AND(K116&lt;&gt;"",L116&lt;&gt;""),K116*L116,"")</f>
        <v/>
      </c>
      <c r="R116">
        <f>IF(AND(P116&lt;&gt;"",Q116&lt;&gt;""),P116*Q116,"")</f>
        <v/>
      </c>
    </row>
    <row r="117">
      <c r="M117">
        <f>IF(AND(K117&lt;&gt;"",L117&lt;&gt;""),K117*L117,"")</f>
        <v/>
      </c>
      <c r="R117">
        <f>IF(AND(P117&lt;&gt;"",Q117&lt;&gt;""),P117*Q117,"")</f>
        <v/>
      </c>
    </row>
    <row r="118">
      <c r="M118">
        <f>IF(AND(K118&lt;&gt;"",L118&lt;&gt;""),K118*L118,"")</f>
        <v/>
      </c>
      <c r="R118">
        <f>IF(AND(P118&lt;&gt;"",Q118&lt;&gt;""),P118*Q118,"")</f>
        <v/>
      </c>
    </row>
    <row r="119">
      <c r="M119">
        <f>IF(AND(K119&lt;&gt;"",L119&lt;&gt;""),K119*L119,"")</f>
        <v/>
      </c>
      <c r="R119">
        <f>IF(AND(P119&lt;&gt;"",Q119&lt;&gt;""),P119*Q119,"")</f>
        <v/>
      </c>
    </row>
    <row r="120">
      <c r="M120">
        <f>IF(AND(K120&lt;&gt;"",L120&lt;&gt;""),K120*L120,"")</f>
        <v/>
      </c>
      <c r="R120">
        <f>IF(AND(P120&lt;&gt;"",Q120&lt;&gt;""),P120*Q120,"")</f>
        <v/>
      </c>
    </row>
    <row r="121">
      <c r="M121">
        <f>IF(AND(K121&lt;&gt;"",L121&lt;&gt;""),K121*L121,"")</f>
        <v/>
      </c>
      <c r="R121">
        <f>IF(AND(P121&lt;&gt;"",Q121&lt;&gt;""),P121*Q121,"")</f>
        <v/>
      </c>
    </row>
    <row r="122">
      <c r="M122">
        <f>IF(AND(K122&lt;&gt;"",L122&lt;&gt;""),K122*L122,"")</f>
        <v/>
      </c>
      <c r="R122">
        <f>IF(AND(P122&lt;&gt;"",Q122&lt;&gt;""),P122*Q122,"")</f>
        <v/>
      </c>
    </row>
    <row r="123">
      <c r="M123">
        <f>IF(AND(K123&lt;&gt;"",L123&lt;&gt;""),K123*L123,"")</f>
        <v/>
      </c>
      <c r="R123">
        <f>IF(AND(P123&lt;&gt;"",Q123&lt;&gt;""),P123*Q123,"")</f>
        <v/>
      </c>
    </row>
    <row r="124">
      <c r="M124">
        <f>IF(AND(K124&lt;&gt;"",L124&lt;&gt;""),K124*L124,"")</f>
        <v/>
      </c>
      <c r="R124">
        <f>IF(AND(P124&lt;&gt;"",Q124&lt;&gt;""),P124*Q124,"")</f>
        <v/>
      </c>
    </row>
    <row r="125">
      <c r="M125">
        <f>IF(AND(K125&lt;&gt;"",L125&lt;&gt;""),K125*L125,"")</f>
        <v/>
      </c>
      <c r="R125">
        <f>IF(AND(P125&lt;&gt;"",Q125&lt;&gt;""),P125*Q125,"")</f>
        <v/>
      </c>
    </row>
    <row r="126">
      <c r="M126">
        <f>IF(AND(K126&lt;&gt;"",L126&lt;&gt;""),K126*L126,"")</f>
        <v/>
      </c>
      <c r="R126">
        <f>IF(AND(P126&lt;&gt;"",Q126&lt;&gt;""),P126*Q126,"")</f>
        <v/>
      </c>
    </row>
    <row r="127">
      <c r="M127">
        <f>IF(AND(K127&lt;&gt;"",L127&lt;&gt;""),K127*L127,"")</f>
        <v/>
      </c>
      <c r="R127">
        <f>IF(AND(P127&lt;&gt;"",Q127&lt;&gt;""),P127*Q127,"")</f>
        <v/>
      </c>
    </row>
    <row r="128">
      <c r="M128">
        <f>IF(AND(K128&lt;&gt;"",L128&lt;&gt;""),K128*L128,"")</f>
        <v/>
      </c>
      <c r="R128">
        <f>IF(AND(P128&lt;&gt;"",Q128&lt;&gt;""),P128*Q128,"")</f>
        <v/>
      </c>
    </row>
    <row r="129">
      <c r="M129">
        <f>IF(AND(K129&lt;&gt;"",L129&lt;&gt;""),K129*L129,"")</f>
        <v/>
      </c>
      <c r="R129">
        <f>IF(AND(P129&lt;&gt;"",Q129&lt;&gt;""),P129*Q129,"")</f>
        <v/>
      </c>
    </row>
    <row r="130">
      <c r="M130">
        <f>IF(AND(K130&lt;&gt;"",L130&lt;&gt;""),K130*L130,"")</f>
        <v/>
      </c>
      <c r="R130">
        <f>IF(AND(P130&lt;&gt;"",Q130&lt;&gt;""),P130*Q130,"")</f>
        <v/>
      </c>
    </row>
    <row r="131">
      <c r="M131">
        <f>IF(AND(K131&lt;&gt;"",L131&lt;&gt;""),K131*L131,"")</f>
        <v/>
      </c>
      <c r="R131">
        <f>IF(AND(P131&lt;&gt;"",Q131&lt;&gt;""),P131*Q131,"")</f>
        <v/>
      </c>
    </row>
    <row r="132">
      <c r="M132">
        <f>IF(AND(K132&lt;&gt;"",L132&lt;&gt;""),K132*L132,"")</f>
        <v/>
      </c>
      <c r="R132">
        <f>IF(AND(P132&lt;&gt;"",Q132&lt;&gt;""),P132*Q132,"")</f>
        <v/>
      </c>
    </row>
    <row r="133">
      <c r="M133">
        <f>IF(AND(K133&lt;&gt;"",L133&lt;&gt;""),K133*L133,"")</f>
        <v/>
      </c>
      <c r="R133">
        <f>IF(AND(P133&lt;&gt;"",Q133&lt;&gt;""),P133*Q133,"")</f>
        <v/>
      </c>
    </row>
    <row r="134">
      <c r="M134">
        <f>IF(AND(K134&lt;&gt;"",L134&lt;&gt;""),K134*L134,"")</f>
        <v/>
      </c>
      <c r="R134">
        <f>IF(AND(P134&lt;&gt;"",Q134&lt;&gt;""),P134*Q134,"")</f>
        <v/>
      </c>
    </row>
    <row r="135">
      <c r="M135">
        <f>IF(AND(K135&lt;&gt;"",L135&lt;&gt;""),K135*L135,"")</f>
        <v/>
      </c>
      <c r="R135">
        <f>IF(AND(P135&lt;&gt;"",Q135&lt;&gt;""),P135*Q135,"")</f>
        <v/>
      </c>
    </row>
    <row r="136">
      <c r="M136">
        <f>IF(AND(K136&lt;&gt;"",L136&lt;&gt;""),K136*L136,"")</f>
        <v/>
      </c>
      <c r="R136">
        <f>IF(AND(P136&lt;&gt;"",Q136&lt;&gt;""),P136*Q136,"")</f>
        <v/>
      </c>
    </row>
    <row r="137">
      <c r="M137">
        <f>IF(AND(K137&lt;&gt;"",L137&lt;&gt;""),K137*L137,"")</f>
        <v/>
      </c>
      <c r="R137">
        <f>IF(AND(P137&lt;&gt;"",Q137&lt;&gt;""),P137*Q137,"")</f>
        <v/>
      </c>
    </row>
    <row r="138">
      <c r="M138">
        <f>IF(AND(K138&lt;&gt;"",L138&lt;&gt;""),K138*L138,"")</f>
        <v/>
      </c>
      <c r="R138">
        <f>IF(AND(P138&lt;&gt;"",Q138&lt;&gt;""),P138*Q138,"")</f>
        <v/>
      </c>
    </row>
    <row r="139">
      <c r="M139">
        <f>IF(AND(K139&lt;&gt;"",L139&lt;&gt;""),K139*L139,"")</f>
        <v/>
      </c>
      <c r="R139">
        <f>IF(AND(P139&lt;&gt;"",Q139&lt;&gt;""),P139*Q139,"")</f>
        <v/>
      </c>
    </row>
    <row r="140">
      <c r="M140">
        <f>IF(AND(K140&lt;&gt;"",L140&lt;&gt;""),K140*L140,"")</f>
        <v/>
      </c>
      <c r="R140">
        <f>IF(AND(P140&lt;&gt;"",Q140&lt;&gt;""),P140*Q140,"")</f>
        <v/>
      </c>
    </row>
    <row r="141">
      <c r="M141">
        <f>IF(AND(K141&lt;&gt;"",L141&lt;&gt;""),K141*L141,"")</f>
        <v/>
      </c>
      <c r="R141">
        <f>IF(AND(P141&lt;&gt;"",Q141&lt;&gt;""),P141*Q141,"")</f>
        <v/>
      </c>
    </row>
    <row r="142">
      <c r="M142">
        <f>IF(AND(K142&lt;&gt;"",L142&lt;&gt;""),K142*L142,"")</f>
        <v/>
      </c>
      <c r="R142">
        <f>IF(AND(P142&lt;&gt;"",Q142&lt;&gt;""),P142*Q142,"")</f>
        <v/>
      </c>
    </row>
    <row r="143">
      <c r="M143">
        <f>IF(AND(K143&lt;&gt;"",L143&lt;&gt;""),K143*L143,"")</f>
        <v/>
      </c>
      <c r="R143">
        <f>IF(AND(P143&lt;&gt;"",Q143&lt;&gt;""),P143*Q143,"")</f>
        <v/>
      </c>
    </row>
    <row r="144">
      <c r="M144">
        <f>IF(AND(K144&lt;&gt;"",L144&lt;&gt;""),K144*L144,"")</f>
        <v/>
      </c>
      <c r="R144">
        <f>IF(AND(P144&lt;&gt;"",Q144&lt;&gt;""),P144*Q144,"")</f>
        <v/>
      </c>
    </row>
    <row r="145">
      <c r="M145">
        <f>IF(AND(K145&lt;&gt;"",L145&lt;&gt;""),K145*L145,"")</f>
        <v/>
      </c>
      <c r="R145">
        <f>IF(AND(P145&lt;&gt;"",Q145&lt;&gt;""),P145*Q145,"")</f>
        <v/>
      </c>
    </row>
    <row r="146">
      <c r="M146">
        <f>IF(AND(K146&lt;&gt;"",L146&lt;&gt;""),K146*L146,"")</f>
        <v/>
      </c>
      <c r="R146">
        <f>IF(AND(P146&lt;&gt;"",Q146&lt;&gt;""),P146*Q146,"")</f>
        <v/>
      </c>
    </row>
    <row r="147">
      <c r="M147">
        <f>IF(AND(K147&lt;&gt;"",L147&lt;&gt;""),K147*L147,"")</f>
        <v/>
      </c>
      <c r="R147">
        <f>IF(AND(P147&lt;&gt;"",Q147&lt;&gt;""),P147*Q147,"")</f>
        <v/>
      </c>
    </row>
    <row r="148">
      <c r="M148">
        <f>IF(AND(K148&lt;&gt;"",L148&lt;&gt;""),K148*L148,"")</f>
        <v/>
      </c>
      <c r="R148">
        <f>IF(AND(P148&lt;&gt;"",Q148&lt;&gt;""),P148*Q148,"")</f>
        <v/>
      </c>
    </row>
    <row r="149">
      <c r="M149">
        <f>IF(AND(K149&lt;&gt;"",L149&lt;&gt;""),K149*L149,"")</f>
        <v/>
      </c>
      <c r="R149">
        <f>IF(AND(P149&lt;&gt;"",Q149&lt;&gt;""),P149*Q149,"")</f>
        <v/>
      </c>
    </row>
    <row r="150">
      <c r="M150">
        <f>IF(AND(K150&lt;&gt;"",L150&lt;&gt;""),K150*L150,"")</f>
        <v/>
      </c>
      <c r="R150">
        <f>IF(AND(P150&lt;&gt;"",Q150&lt;&gt;""),P150*Q150,"")</f>
        <v/>
      </c>
    </row>
    <row r="151">
      <c r="M151">
        <f>IF(AND(K151&lt;&gt;"",L151&lt;&gt;""),K151*L151,"")</f>
        <v/>
      </c>
      <c r="R151">
        <f>IF(AND(P151&lt;&gt;"",Q151&lt;&gt;""),P151*Q151,"")</f>
        <v/>
      </c>
    </row>
    <row r="152">
      <c r="M152">
        <f>IF(AND(K152&lt;&gt;"",L152&lt;&gt;""),K152*L152,"")</f>
        <v/>
      </c>
      <c r="R152">
        <f>IF(AND(P152&lt;&gt;"",Q152&lt;&gt;""),P152*Q152,"")</f>
        <v/>
      </c>
    </row>
    <row r="153">
      <c r="M153">
        <f>IF(AND(K153&lt;&gt;"",L153&lt;&gt;""),K153*L153,"")</f>
        <v/>
      </c>
      <c r="R153">
        <f>IF(AND(P153&lt;&gt;"",Q153&lt;&gt;""),P153*Q153,"")</f>
        <v/>
      </c>
    </row>
    <row r="154">
      <c r="M154">
        <f>IF(AND(K154&lt;&gt;"",L154&lt;&gt;""),K154*L154,"")</f>
        <v/>
      </c>
      <c r="R154">
        <f>IF(AND(P154&lt;&gt;"",Q154&lt;&gt;""),P154*Q154,"")</f>
        <v/>
      </c>
    </row>
    <row r="155">
      <c r="M155">
        <f>IF(AND(K155&lt;&gt;"",L155&lt;&gt;""),K155*L155,"")</f>
        <v/>
      </c>
      <c r="R155">
        <f>IF(AND(P155&lt;&gt;"",Q155&lt;&gt;""),P155*Q155,"")</f>
        <v/>
      </c>
    </row>
    <row r="156">
      <c r="M156">
        <f>IF(AND(K156&lt;&gt;"",L156&lt;&gt;""),K156*L156,"")</f>
        <v/>
      </c>
      <c r="R156">
        <f>IF(AND(P156&lt;&gt;"",Q156&lt;&gt;""),P156*Q156,"")</f>
        <v/>
      </c>
    </row>
    <row r="157">
      <c r="M157">
        <f>IF(AND(K157&lt;&gt;"",L157&lt;&gt;""),K157*L157,"")</f>
        <v/>
      </c>
      <c r="R157">
        <f>IF(AND(P157&lt;&gt;"",Q157&lt;&gt;""),P157*Q157,"")</f>
        <v/>
      </c>
    </row>
    <row r="158">
      <c r="M158">
        <f>IF(AND(K158&lt;&gt;"",L158&lt;&gt;""),K158*L158,"")</f>
        <v/>
      </c>
      <c r="R158">
        <f>IF(AND(P158&lt;&gt;"",Q158&lt;&gt;""),P158*Q158,"")</f>
        <v/>
      </c>
    </row>
    <row r="159">
      <c r="M159">
        <f>IF(AND(K159&lt;&gt;"",L159&lt;&gt;""),K159*L159,"")</f>
        <v/>
      </c>
      <c r="R159">
        <f>IF(AND(P159&lt;&gt;"",Q159&lt;&gt;""),P159*Q159,"")</f>
        <v/>
      </c>
    </row>
    <row r="160">
      <c r="M160">
        <f>IF(AND(K160&lt;&gt;"",L160&lt;&gt;""),K160*L160,"")</f>
        <v/>
      </c>
      <c r="R160">
        <f>IF(AND(P160&lt;&gt;"",Q160&lt;&gt;""),P160*Q160,"")</f>
        <v/>
      </c>
    </row>
    <row r="161">
      <c r="M161">
        <f>IF(AND(K161&lt;&gt;"",L161&lt;&gt;""),K161*L161,"")</f>
        <v/>
      </c>
      <c r="R161">
        <f>IF(AND(P161&lt;&gt;"",Q161&lt;&gt;""),P161*Q161,"")</f>
        <v/>
      </c>
    </row>
    <row r="162">
      <c r="M162">
        <f>IF(AND(K162&lt;&gt;"",L162&lt;&gt;""),K162*L162,"")</f>
        <v/>
      </c>
      <c r="R162">
        <f>IF(AND(P162&lt;&gt;"",Q162&lt;&gt;""),P162*Q162,"")</f>
        <v/>
      </c>
    </row>
    <row r="163">
      <c r="M163">
        <f>IF(AND(K163&lt;&gt;"",L163&lt;&gt;""),K163*L163,"")</f>
        <v/>
      </c>
      <c r="R163">
        <f>IF(AND(P163&lt;&gt;"",Q163&lt;&gt;""),P163*Q163,"")</f>
        <v/>
      </c>
    </row>
    <row r="164">
      <c r="M164">
        <f>IF(AND(K164&lt;&gt;"",L164&lt;&gt;""),K164*L164,"")</f>
        <v/>
      </c>
      <c r="R164">
        <f>IF(AND(P164&lt;&gt;"",Q164&lt;&gt;""),P164*Q164,"")</f>
        <v/>
      </c>
    </row>
    <row r="165">
      <c r="M165">
        <f>IF(AND(K165&lt;&gt;"",L165&lt;&gt;""),K165*L165,"")</f>
        <v/>
      </c>
      <c r="R165">
        <f>IF(AND(P165&lt;&gt;"",Q165&lt;&gt;""),P165*Q165,"")</f>
        <v/>
      </c>
    </row>
    <row r="166">
      <c r="M166">
        <f>IF(AND(K166&lt;&gt;"",L166&lt;&gt;""),K166*L166,"")</f>
        <v/>
      </c>
      <c r="R166">
        <f>IF(AND(P166&lt;&gt;"",Q166&lt;&gt;""),P166*Q166,"")</f>
        <v/>
      </c>
    </row>
    <row r="167">
      <c r="M167">
        <f>IF(AND(K167&lt;&gt;"",L167&lt;&gt;""),K167*L167,"")</f>
        <v/>
      </c>
      <c r="R167">
        <f>IF(AND(P167&lt;&gt;"",Q167&lt;&gt;""),P167*Q167,"")</f>
        <v/>
      </c>
    </row>
    <row r="168">
      <c r="M168">
        <f>IF(AND(K168&lt;&gt;"",L168&lt;&gt;""),K168*L168,"")</f>
        <v/>
      </c>
      <c r="R168">
        <f>IF(AND(P168&lt;&gt;"",Q168&lt;&gt;""),P168*Q168,"")</f>
        <v/>
      </c>
    </row>
    <row r="169">
      <c r="M169">
        <f>IF(AND(K169&lt;&gt;"",L169&lt;&gt;""),K169*L169,"")</f>
        <v/>
      </c>
      <c r="R169">
        <f>IF(AND(P169&lt;&gt;"",Q169&lt;&gt;""),P169*Q169,"")</f>
        <v/>
      </c>
    </row>
    <row r="170">
      <c r="M170">
        <f>IF(AND(K170&lt;&gt;"",L170&lt;&gt;""),K170*L170,"")</f>
        <v/>
      </c>
      <c r="R170">
        <f>IF(AND(P170&lt;&gt;"",Q170&lt;&gt;""),P170*Q170,"")</f>
        <v/>
      </c>
    </row>
    <row r="171">
      <c r="M171">
        <f>IF(AND(K171&lt;&gt;"",L171&lt;&gt;""),K171*L171,"")</f>
        <v/>
      </c>
      <c r="R171">
        <f>IF(AND(P171&lt;&gt;"",Q171&lt;&gt;""),P171*Q171,"")</f>
        <v/>
      </c>
    </row>
    <row r="172">
      <c r="M172">
        <f>IF(AND(K172&lt;&gt;"",L172&lt;&gt;""),K172*L172,"")</f>
        <v/>
      </c>
      <c r="R172">
        <f>IF(AND(P172&lt;&gt;"",Q172&lt;&gt;""),P172*Q172,"")</f>
        <v/>
      </c>
    </row>
    <row r="173">
      <c r="M173">
        <f>IF(AND(K173&lt;&gt;"",L173&lt;&gt;""),K173*L173,"")</f>
        <v/>
      </c>
      <c r="R173">
        <f>IF(AND(P173&lt;&gt;"",Q173&lt;&gt;""),P173*Q173,"")</f>
        <v/>
      </c>
    </row>
    <row r="174">
      <c r="M174">
        <f>IF(AND(K174&lt;&gt;"",L174&lt;&gt;""),K174*L174,"")</f>
        <v/>
      </c>
      <c r="R174">
        <f>IF(AND(P174&lt;&gt;"",Q174&lt;&gt;""),P174*Q174,"")</f>
        <v/>
      </c>
    </row>
    <row r="175">
      <c r="M175">
        <f>IF(AND(K175&lt;&gt;"",L175&lt;&gt;""),K175*L175,"")</f>
        <v/>
      </c>
      <c r="R175">
        <f>IF(AND(P175&lt;&gt;"",Q175&lt;&gt;""),P175*Q175,"")</f>
        <v/>
      </c>
    </row>
    <row r="176">
      <c r="M176">
        <f>IF(AND(K176&lt;&gt;"",L176&lt;&gt;""),K176*L176,"")</f>
        <v/>
      </c>
      <c r="R176">
        <f>IF(AND(P176&lt;&gt;"",Q176&lt;&gt;""),P176*Q176,"")</f>
        <v/>
      </c>
    </row>
    <row r="177">
      <c r="M177">
        <f>IF(AND(K177&lt;&gt;"",L177&lt;&gt;""),K177*L177,"")</f>
        <v/>
      </c>
      <c r="R177">
        <f>IF(AND(P177&lt;&gt;"",Q177&lt;&gt;""),P177*Q177,"")</f>
        <v/>
      </c>
    </row>
    <row r="178">
      <c r="M178">
        <f>IF(AND(K178&lt;&gt;"",L178&lt;&gt;""),K178*L178,"")</f>
        <v/>
      </c>
      <c r="R178">
        <f>IF(AND(P178&lt;&gt;"",Q178&lt;&gt;""),P178*Q178,"")</f>
        <v/>
      </c>
    </row>
    <row r="179">
      <c r="M179">
        <f>IF(AND(K179&lt;&gt;"",L179&lt;&gt;""),K179*L179,"")</f>
        <v/>
      </c>
      <c r="R179">
        <f>IF(AND(P179&lt;&gt;"",Q179&lt;&gt;""),P179*Q179,"")</f>
        <v/>
      </c>
    </row>
    <row r="180">
      <c r="M180">
        <f>IF(AND(K180&lt;&gt;"",L180&lt;&gt;""),K180*L180,"")</f>
        <v/>
      </c>
      <c r="R180">
        <f>IF(AND(P180&lt;&gt;"",Q180&lt;&gt;""),P180*Q180,"")</f>
        <v/>
      </c>
    </row>
    <row r="181">
      <c r="M181">
        <f>IF(AND(K181&lt;&gt;"",L181&lt;&gt;""),K181*L181,"")</f>
        <v/>
      </c>
      <c r="R181">
        <f>IF(AND(P181&lt;&gt;"",Q181&lt;&gt;""),P181*Q181,"")</f>
        <v/>
      </c>
    </row>
    <row r="182">
      <c r="M182">
        <f>IF(AND(K182&lt;&gt;"",L182&lt;&gt;""),K182*L182,"")</f>
        <v/>
      </c>
      <c r="R182">
        <f>IF(AND(P182&lt;&gt;"",Q182&lt;&gt;""),P182*Q182,"")</f>
        <v/>
      </c>
    </row>
    <row r="183">
      <c r="M183">
        <f>IF(AND(K183&lt;&gt;"",L183&lt;&gt;""),K183*L183,"")</f>
        <v/>
      </c>
      <c r="R183">
        <f>IF(AND(P183&lt;&gt;"",Q183&lt;&gt;""),P183*Q183,"")</f>
        <v/>
      </c>
    </row>
    <row r="184">
      <c r="M184">
        <f>IF(AND(K184&lt;&gt;"",L184&lt;&gt;""),K184*L184,"")</f>
        <v/>
      </c>
      <c r="R184">
        <f>IF(AND(P184&lt;&gt;"",Q184&lt;&gt;""),P184*Q184,"")</f>
        <v/>
      </c>
    </row>
    <row r="185">
      <c r="M185">
        <f>IF(AND(K185&lt;&gt;"",L185&lt;&gt;""),K185*L185,"")</f>
        <v/>
      </c>
      <c r="R185">
        <f>IF(AND(P185&lt;&gt;"",Q185&lt;&gt;""),P185*Q185,"")</f>
        <v/>
      </c>
    </row>
    <row r="186">
      <c r="M186">
        <f>IF(AND(K186&lt;&gt;"",L186&lt;&gt;""),K186*L186,"")</f>
        <v/>
      </c>
      <c r="R186">
        <f>IF(AND(P186&lt;&gt;"",Q186&lt;&gt;""),P186*Q186,"")</f>
        <v/>
      </c>
    </row>
    <row r="187">
      <c r="M187">
        <f>IF(AND(K187&lt;&gt;"",L187&lt;&gt;""),K187*L187,"")</f>
        <v/>
      </c>
      <c r="R187">
        <f>IF(AND(P187&lt;&gt;"",Q187&lt;&gt;""),P187*Q187,"")</f>
        <v/>
      </c>
    </row>
    <row r="188">
      <c r="M188">
        <f>IF(AND(K188&lt;&gt;"",L188&lt;&gt;""),K188*L188,"")</f>
        <v/>
      </c>
      <c r="R188">
        <f>IF(AND(P188&lt;&gt;"",Q188&lt;&gt;""),P188*Q188,"")</f>
        <v/>
      </c>
    </row>
    <row r="189">
      <c r="M189">
        <f>IF(AND(K189&lt;&gt;"",L189&lt;&gt;""),K189*L189,"")</f>
        <v/>
      </c>
      <c r="R189">
        <f>IF(AND(P189&lt;&gt;"",Q189&lt;&gt;""),P189*Q189,"")</f>
        <v/>
      </c>
    </row>
    <row r="190">
      <c r="M190">
        <f>IF(AND(K190&lt;&gt;"",L190&lt;&gt;""),K190*L190,"")</f>
        <v/>
      </c>
      <c r="R190">
        <f>IF(AND(P190&lt;&gt;"",Q190&lt;&gt;""),P190*Q190,"")</f>
        <v/>
      </c>
    </row>
    <row r="191">
      <c r="M191">
        <f>IF(AND(K191&lt;&gt;"",L191&lt;&gt;""),K191*L191,"")</f>
        <v/>
      </c>
      <c r="R191">
        <f>IF(AND(P191&lt;&gt;"",Q191&lt;&gt;""),P191*Q191,"")</f>
        <v/>
      </c>
    </row>
    <row r="192">
      <c r="M192">
        <f>IF(AND(K192&lt;&gt;"",L192&lt;&gt;""),K192*L192,"")</f>
        <v/>
      </c>
      <c r="R192">
        <f>IF(AND(P192&lt;&gt;"",Q192&lt;&gt;""),P192*Q192,"")</f>
        <v/>
      </c>
    </row>
    <row r="193">
      <c r="M193">
        <f>IF(AND(K193&lt;&gt;"",L193&lt;&gt;""),K193*L193,"")</f>
        <v/>
      </c>
      <c r="R193">
        <f>IF(AND(P193&lt;&gt;"",Q193&lt;&gt;""),P193*Q193,"")</f>
        <v/>
      </c>
    </row>
    <row r="194">
      <c r="M194">
        <f>IF(AND(K194&lt;&gt;"",L194&lt;&gt;""),K194*L194,"")</f>
        <v/>
      </c>
      <c r="R194">
        <f>IF(AND(P194&lt;&gt;"",Q194&lt;&gt;""),P194*Q194,"")</f>
        <v/>
      </c>
    </row>
    <row r="195">
      <c r="M195">
        <f>IF(AND(K195&lt;&gt;"",L195&lt;&gt;""),K195*L195,"")</f>
        <v/>
      </c>
      <c r="R195">
        <f>IF(AND(P195&lt;&gt;"",Q195&lt;&gt;""),P195*Q195,"")</f>
        <v/>
      </c>
    </row>
    <row r="196">
      <c r="M196">
        <f>IF(AND(K196&lt;&gt;"",L196&lt;&gt;""),K196*L196,"")</f>
        <v/>
      </c>
      <c r="R196">
        <f>IF(AND(P196&lt;&gt;"",Q196&lt;&gt;""),P196*Q196,"")</f>
        <v/>
      </c>
    </row>
    <row r="197">
      <c r="M197">
        <f>IF(AND(K197&lt;&gt;"",L197&lt;&gt;""),K197*L197,"")</f>
        <v/>
      </c>
      <c r="R197">
        <f>IF(AND(P197&lt;&gt;"",Q197&lt;&gt;""),P197*Q197,"")</f>
        <v/>
      </c>
    </row>
    <row r="198">
      <c r="M198">
        <f>IF(AND(K198&lt;&gt;"",L198&lt;&gt;""),K198*L198,"")</f>
        <v/>
      </c>
      <c r="R198">
        <f>IF(AND(P198&lt;&gt;"",Q198&lt;&gt;""),P198*Q198,"")</f>
        <v/>
      </c>
    </row>
    <row r="199">
      <c r="M199">
        <f>IF(AND(K199&lt;&gt;"",L199&lt;&gt;""),K199*L199,"")</f>
        <v/>
      </c>
      <c r="R199">
        <f>IF(AND(P199&lt;&gt;"",Q199&lt;&gt;""),P199*Q199,"")</f>
        <v/>
      </c>
    </row>
    <row r="200">
      <c r="M200">
        <f>IF(AND(K200&lt;&gt;"",L200&lt;&gt;""),K200*L200,"")</f>
        <v/>
      </c>
      <c r="R200">
        <f>IF(AND(P200&lt;&gt;"",Q200&lt;&gt;""),P200*Q200,"")</f>
        <v/>
      </c>
    </row>
  </sheetData>
  <dataValidations count="6">
    <dataValidation sqref="K2:K200" showDropDown="0" showInputMessage="0" showErrorMessage="0" allowBlank="1" type="whole" operator="between">
      <formula1>1</formula1>
      <formula2>5</formula2>
    </dataValidation>
    <dataValidation sqref="L2:L200" showDropDown="0" showInputMessage="0" showErrorMessage="0" allowBlank="1" type="whole" operator="between">
      <formula1>1</formula1>
      <formula2>5</formula2>
    </dataValidation>
    <dataValidation sqref="P2:P200" showDropDown="0" showInputMessage="0" showErrorMessage="0" allowBlank="1" type="whole" operator="between">
      <formula1>1</formula1>
      <formula2>5</formula2>
    </dataValidation>
    <dataValidation sqref="Q2:Q200" showDropDown="0" showInputMessage="0" showErrorMessage="0" allowBlank="1" type="whole" operator="between">
      <formula1>1</formula1>
      <formula2>5</formula2>
    </dataValidation>
    <dataValidation sqref="O2:O200" showDropDown="0" showInputMessage="0" showErrorMessage="0" allowBlank="1" type="list">
      <formula1>"Effective,Partially Effective,Ineffective,Not Tested"</formula1>
    </dataValidation>
    <dataValidation sqref="T2:T200" showDropDown="0" showInputMessage="0" showErrorMessage="0" allowBlank="1" type="list">
      <formula1>"Treat,Tolerate,Transfer,Terminate"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48" customWidth="1" min="3" max="3"/>
    <col width="48" customWidth="1" min="4" max="4"/>
    <col width="33" customWidth="1" min="5" max="5"/>
  </cols>
  <sheetData>
    <row r="1">
      <c r="A1" s="5" t="inlineStr">
        <is>
          <t>LIKELIHOOD SCALE</t>
        </is>
      </c>
      <c r="B1" s="2" t="n"/>
      <c r="C1" s="2" t="n"/>
      <c r="D1" s="2" t="n"/>
      <c r="E1" s="2" t="n"/>
    </row>
    <row r="2">
      <c r="A2" s="6" t="inlineStr">
        <is>
          <t>Score</t>
        </is>
      </c>
      <c r="B2" s="6" t="inlineStr">
        <is>
          <t>Label</t>
        </is>
      </c>
      <c r="C2" s="6" t="inlineStr">
        <is>
          <t>Definition</t>
        </is>
      </c>
      <c r="D2" s="6" t="inlineStr">
        <is>
          <t>Frequency guide</t>
        </is>
      </c>
      <c r="E2" s="2" t="n"/>
    </row>
    <row r="3">
      <c r="A3" s="2" t="n">
        <v>1</v>
      </c>
      <c r="B3" s="2" t="inlineStr">
        <is>
          <t>Rare</t>
        </is>
      </c>
      <c r="C3" s="2" t="inlineStr">
        <is>
          <t>Would require multiple independent control failures</t>
        </is>
      </c>
      <c r="D3" s="2" t="inlineStr">
        <is>
          <t>Less than once in 10 years</t>
        </is>
      </c>
      <c r="E3" s="2" t="n"/>
    </row>
    <row r="4">
      <c r="A4" s="2" t="n">
        <v>2</v>
      </c>
      <c r="B4" s="2" t="inlineStr">
        <is>
          <t>Unlikely</t>
        </is>
      </c>
      <c r="C4" s="2" t="inlineStr">
        <is>
          <t>Possible but no known occurrence in the sector recently</t>
        </is>
      </c>
      <c r="D4" s="2" t="inlineStr">
        <is>
          <t>Once in 5-10 years</t>
        </is>
      </c>
      <c r="E4" s="2" t="n"/>
    </row>
    <row r="5">
      <c r="A5" s="2" t="n">
        <v>3</v>
      </c>
      <c r="B5" s="2" t="inlineStr">
        <is>
          <t>Possible</t>
        </is>
      </c>
      <c r="C5" s="2" t="inlineStr">
        <is>
          <t>Has occurred at comparable firms; controls are partial</t>
        </is>
      </c>
      <c r="D5" s="2" t="inlineStr">
        <is>
          <t>Once in 2-5 years</t>
        </is>
      </c>
      <c r="E5" s="2" t="n"/>
    </row>
    <row r="6">
      <c r="A6" s="2" t="n">
        <v>4</v>
      </c>
      <c r="B6" s="2" t="inlineStr">
        <is>
          <t>Likely</t>
        </is>
      </c>
      <c r="C6" s="2" t="inlineStr">
        <is>
          <t>Has occurred here or is occurring at peers regularly</t>
        </is>
      </c>
      <c r="D6" s="2" t="inlineStr">
        <is>
          <t>Once or more per year</t>
        </is>
      </c>
      <c r="E6" s="2" t="n"/>
    </row>
    <row r="7">
      <c r="A7" s="2" t="n">
        <v>5</v>
      </c>
      <c r="B7" s="2" t="inlineStr">
        <is>
          <t>Almost certain</t>
        </is>
      </c>
      <c r="C7" s="2" t="inlineStr">
        <is>
          <t>Occurring now or control is absent entirely</t>
        </is>
      </c>
      <c r="D7" s="2" t="inlineStr">
        <is>
          <t>Multiple times per year</t>
        </is>
      </c>
      <c r="E7" s="2" t="n"/>
    </row>
    <row r="8">
      <c r="A8" s="2" t="n"/>
      <c r="B8" s="2" t="n"/>
      <c r="C8" s="2" t="n"/>
      <c r="D8" s="2" t="n"/>
      <c r="E8" s="2" t="n"/>
    </row>
    <row r="9">
      <c r="A9" s="6" t="inlineStr">
        <is>
          <t>IMPACT SCALE — score the HIGHEST applicable dimension</t>
        </is>
      </c>
      <c r="B9" s="2" t="n"/>
      <c r="C9" s="2" t="n"/>
      <c r="D9" s="2" t="n"/>
      <c r="E9" s="2" t="n"/>
    </row>
    <row r="10">
      <c r="A10" s="2" t="inlineStr">
        <is>
          <t>Score</t>
        </is>
      </c>
      <c r="B10" s="2" t="inlineStr">
        <is>
          <t>Financial</t>
        </is>
      </c>
      <c r="C10" s="2" t="inlineStr">
        <is>
          <t>Regulatory</t>
        </is>
      </c>
      <c r="D10" s="2" t="inlineStr">
        <is>
          <t>Customer / operational</t>
        </is>
      </c>
      <c r="E10" s="2" t="inlineStr">
        <is>
          <t>Reputational</t>
        </is>
      </c>
    </row>
    <row r="11">
      <c r="A11" s="2" t="n">
        <v>1</v>
      </c>
      <c r="B11" s="2" t="inlineStr">
        <is>
          <t>&lt;€25k</t>
        </is>
      </c>
      <c r="C11" s="2" t="inlineStr">
        <is>
          <t>Internal observation only</t>
        </is>
      </c>
      <c r="D11" s="2" t="inlineStr">
        <is>
          <t>&lt;10 merchants, &lt;1h</t>
        </is>
      </c>
      <c r="E11" s="2" t="inlineStr">
        <is>
          <t>No external awareness</t>
        </is>
      </c>
    </row>
    <row r="12">
      <c r="A12" s="2" t="n">
        <v>2</v>
      </c>
      <c r="B12" s="2" t="inlineStr">
        <is>
          <t>€25k-€100k</t>
        </is>
      </c>
      <c r="C12" s="2" t="inlineStr">
        <is>
          <t>Supervisory query, informal</t>
        </is>
      </c>
      <c r="D12" s="2" t="inlineStr">
        <is>
          <t>&lt;100 merchants or &lt;4h degradation</t>
        </is>
      </c>
      <c r="E12" s="2" t="inlineStr">
        <is>
          <t>Customer complaints</t>
        </is>
      </c>
    </row>
    <row r="13">
      <c r="A13" s="2" t="n">
        <v>3</v>
      </c>
      <c r="B13" s="2" t="inlineStr">
        <is>
          <t>€100k-€500k</t>
        </is>
      </c>
      <c r="C13" s="2" t="inlineStr">
        <is>
          <t>Formal supervisory finding requiring remediation plan</t>
        </is>
      </c>
      <c r="D13" s="2" t="inlineStr">
        <is>
          <t>&gt;100 merchants or payment outage &lt;30min</t>
        </is>
      </c>
      <c r="E13" s="2" t="inlineStr">
        <is>
          <t>Trade press coverage</t>
        </is>
      </c>
    </row>
    <row r="14">
      <c r="A14" s="2" t="n">
        <v>4</v>
      </c>
      <c r="B14" s="2" t="inlineStr">
        <is>
          <t>€500k-€2.5M</t>
        </is>
      </c>
      <c r="C14" s="2" t="inlineStr">
        <is>
          <t>Enforcement action, fine, or public reprimand</t>
        </is>
      </c>
      <c r="D14" s="2" t="inlineStr">
        <is>
          <t>Payment outage &gt;30min or settlement error</t>
        </is>
      </c>
      <c r="E14" s="2" t="inlineStr">
        <is>
          <t>National press, merchant churn</t>
        </is>
      </c>
    </row>
    <row r="15">
      <c r="A15" s="2" t="n">
        <v>5</v>
      </c>
      <c r="B15" s="2" t="inlineStr">
        <is>
          <t>&gt;€2.5M</t>
        </is>
      </c>
      <c r="C15" s="2" t="inlineStr">
        <is>
          <t>Licence condition, restriction or withdrawal</t>
        </is>
      </c>
      <c r="D15" s="2" t="inlineStr">
        <is>
          <t>Sustained payment failure or unrecoverable settlement loss</t>
        </is>
      </c>
      <c r="E15" s="2" t="inlineStr">
        <is>
          <t>Existential reputational damage</t>
        </is>
      </c>
    </row>
    <row r="16">
      <c r="A16" s="2" t="n"/>
      <c r="B16" s="2" t="n"/>
      <c r="C16" s="2" t="n"/>
      <c r="D16" s="2" t="n"/>
      <c r="E16" s="2" t="n"/>
    </row>
    <row r="17">
      <c r="A17" s="6" t="inlineStr">
        <is>
          <t>SCORE BANDS (Likelihood x Impact)</t>
        </is>
      </c>
      <c r="B17" s="2" t="n"/>
      <c r="C17" s="2" t="n"/>
      <c r="D17" s="2" t="n"/>
      <c r="E17" s="2" t="n"/>
    </row>
    <row r="18">
      <c r="A18" s="2" t="inlineStr">
        <is>
          <t>Band</t>
        </is>
      </c>
      <c r="B18" s="2" t="inlineStr">
        <is>
          <t>Range</t>
        </is>
      </c>
      <c r="C18" s="2" t="inlineStr">
        <is>
          <t>Governance requirement</t>
        </is>
      </c>
      <c r="D18" s="2" t="n"/>
      <c r="E18" s="2" t="n"/>
    </row>
    <row r="19">
      <c r="A19" s="2" t="inlineStr">
        <is>
          <t>Low</t>
        </is>
      </c>
      <c r="B19" s="2" t="inlineStr">
        <is>
          <t>1-4</t>
        </is>
      </c>
      <c r="C19" s="2" t="inlineStr">
        <is>
          <t>Risk owner manages. Annual review.</t>
        </is>
      </c>
      <c r="D19" s="2" t="n"/>
      <c r="E19" s="2" t="n"/>
    </row>
    <row r="20">
      <c r="A20" s="2" t="inlineStr">
        <is>
          <t>Moderate</t>
        </is>
      </c>
      <c r="B20" s="2" t="inlineStr">
        <is>
          <t>5-9</t>
        </is>
      </c>
      <c r="C20" s="2" t="inlineStr">
        <is>
          <t>Risk owner manages with documented treatment. Semi-annual review.</t>
        </is>
      </c>
      <c r="D20" s="2" t="n"/>
      <c r="E20" s="2" t="n"/>
    </row>
    <row r="21">
      <c r="A21" s="2" t="inlineStr">
        <is>
          <t>High</t>
        </is>
      </c>
      <c r="B21" s="2" t="inlineStr">
        <is>
          <t>10-15</t>
        </is>
      </c>
      <c r="C21" s="2" t="inlineStr">
        <is>
          <t>CRO oversight. Treatment plan with dates. Quarterly review. Reported to Risk Committee.</t>
        </is>
      </c>
      <c r="D21" s="2" t="n"/>
      <c r="E21" s="2" t="n"/>
    </row>
    <row r="22">
      <c r="A22" s="2" t="inlineStr">
        <is>
          <t>Critical</t>
        </is>
      </c>
      <c r="B22" s="2" t="inlineStr">
        <is>
          <t>16-25</t>
        </is>
      </c>
      <c r="C22" s="2" t="inlineStr">
        <is>
          <t>Board notification within 5 business days. Named executive owner. Monthly review until reduced.</t>
        </is>
      </c>
      <c r="D22" s="2" t="n"/>
      <c r="E2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1" customWidth="1" min="2" max="2"/>
    <col width="58" customWidth="1" min="3" max="3"/>
    <col width="58" customWidth="1" min="4" max="4"/>
    <col width="44" customWidth="1" min="5" max="5"/>
  </cols>
  <sheetData>
    <row r="1" ht="32" customHeight="1">
      <c r="A1" s="4" t="inlineStr">
        <is>
          <t>Risk category</t>
        </is>
      </c>
      <c r="B1" s="4" t="inlineStr">
        <is>
          <t>Appetite level</t>
        </is>
      </c>
      <c r="C1" s="4" t="inlineStr">
        <is>
          <t>Appetite statement</t>
        </is>
      </c>
      <c r="D1" s="4" t="inlineStr">
        <is>
          <t>Tolerance threshold (breach trigger)</t>
        </is>
      </c>
      <c r="E1" s="4" t="inlineStr">
        <is>
          <t>Escalation on breach</t>
        </is>
      </c>
    </row>
    <row r="2">
      <c r="A2" s="2" t="inlineStr">
        <is>
          <t>Regulatory &amp; licence</t>
        </is>
      </c>
      <c r="B2" s="2" t="inlineStr">
        <is>
          <t>Zero tolerance</t>
        </is>
      </c>
      <c r="C2" s="2" t="inlineStr">
        <is>
          <t>No finding that could reasonably lead to a licence condition, restriction or withdrawal by Banco de Portugal.</t>
        </is>
      </c>
      <c r="D2" s="2" t="inlineStr">
        <is>
          <t>Any Category 1 supervisory finding; any missed statutory notification deadline</t>
        </is>
      </c>
      <c r="E2" s="2" t="inlineStr">
        <is>
          <t>Immediate CEO + Board notification</t>
        </is>
      </c>
    </row>
    <row r="3">
      <c r="A3" s="2" t="inlineStr">
        <is>
          <t>Settlement accuracy</t>
        </is>
      </c>
      <c r="B3" s="2" t="inlineStr">
        <is>
          <t>Zero tolerance</t>
        </is>
      </c>
      <c r="C3" s="2" t="inlineStr">
        <is>
          <t>No unreconciled settlement discrepancy persisting beyond one business day.</t>
        </is>
      </c>
      <c r="D3" s="2" t="inlineStr">
        <is>
          <t>&gt;1 business day unreconciled, OR any single discrepancy &gt;€10,000</t>
        </is>
      </c>
      <c r="E3" s="2" t="inlineStr">
        <is>
          <t>CFO notification, incident raised</t>
        </is>
      </c>
    </row>
    <row r="4">
      <c r="A4" s="2" t="inlineStr">
        <is>
          <t>Confidentiality of customer data</t>
        </is>
      </c>
      <c r="B4" s="2" t="inlineStr">
        <is>
          <t>Low</t>
        </is>
      </c>
      <c r="C4" s="2" t="inlineStr">
        <is>
          <t>Accept residual risk only where the exposure window is &lt;24h and affected records &lt;1,000.</t>
        </is>
      </c>
      <c r="D4" s="2" t="inlineStr">
        <is>
          <t>Any confirmed exposure &gt;1,000 records OR any special-category data</t>
        </is>
      </c>
      <c r="E4" s="2" t="inlineStr">
        <is>
          <t>DPO + CRO, Art.33 assessment within 24h</t>
        </is>
      </c>
    </row>
    <row r="5">
      <c r="A5" s="2" t="inlineStr">
        <is>
          <t>Availability — payment rails</t>
        </is>
      </c>
      <c r="B5" s="2" t="inlineStr">
        <is>
          <t>Low</t>
        </is>
      </c>
      <c r="C5" s="2" t="inlineStr">
        <is>
          <t>99.95% monthly availability for PayRails and Vault.</t>
        </is>
      </c>
      <c r="D5" s="2" t="inlineStr">
        <is>
          <t>&lt;99.9% in any month, OR any single outage &gt;30 min</t>
        </is>
      </c>
      <c r="E5" s="2" t="inlineStr">
        <is>
          <t>CTO + COO, DORA incident assessment</t>
        </is>
      </c>
    </row>
    <row r="6">
      <c r="A6" s="2" t="inlineStr">
        <is>
          <t>Availability — non-payment features</t>
        </is>
      </c>
      <c r="B6" s="2" t="inlineStr">
        <is>
          <t>Moderate</t>
        </is>
      </c>
      <c r="C6" s="2" t="inlineStr">
        <is>
          <t>Accept degradation of reporting, portal and analytics features where payments are unaffected.</t>
        </is>
      </c>
      <c r="D6" s="2" t="inlineStr">
        <is>
          <t>&gt;4h outage of merchant portal</t>
        </is>
      </c>
      <c r="E6" s="2" t="inlineStr">
        <is>
          <t>Product owner, no board escalation</t>
        </is>
      </c>
    </row>
    <row r="7">
      <c r="A7" s="2" t="inlineStr">
        <is>
          <t>Third-party concentration</t>
        </is>
      </c>
      <c r="B7" s="2" t="inlineStr">
        <is>
          <t>Moderate (currently exceeded)</t>
        </is>
      </c>
      <c r="C7" s="2" t="inlineStr">
        <is>
          <t>No single provider should support &gt;60% of critical or important functions without a tested exit plan.</t>
        </is>
      </c>
      <c r="D7" s="2" t="inlineStr">
        <is>
          <t>AWS currently at 100% — breach of appetite, board-accepted with time-bound remediation</t>
        </is>
      </c>
      <c r="E7" s="2" t="inlineStr">
        <is>
          <t>Quarterly board reporting until remediated</t>
        </is>
      </c>
    </row>
    <row r="8">
      <c r="A8" s="2" t="inlineStr">
        <is>
          <t>Financial loss from fraud</t>
        </is>
      </c>
      <c r="B8" s="2" t="inlineStr">
        <is>
          <t>Moderate</t>
        </is>
      </c>
      <c r="C8" s="2" t="inlineStr">
        <is>
          <t>Annual fraud loss net of recovery below €750,000 (≈1.2% of revenue).</t>
        </is>
      </c>
      <c r="D8" s="2" t="inlineStr">
        <is>
          <t>&gt;€250,000 in any quarter</t>
        </is>
      </c>
      <c r="E8" s="2" t="inlineStr">
        <is>
          <t>CFO + CRO review</t>
        </is>
      </c>
    </row>
    <row r="9">
      <c r="A9" s="2" t="inlineStr">
        <is>
          <t>Change failure</t>
        </is>
      </c>
      <c r="B9" s="2" t="inlineStr">
        <is>
          <t>Moderate</t>
        </is>
      </c>
      <c r="C9" s="2" t="inlineStr">
        <is>
          <t>Change failure rate below 5%; no change-induced payment outage.</t>
        </is>
      </c>
      <c r="D9" s="2" t="inlineStr">
        <is>
          <t>Any change-induced payment incident</t>
        </is>
      </c>
      <c r="E9" s="2" t="inlineStr">
        <is>
          <t>CTO review, CAB reinstatement considered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2026-10-15T16:39:49Z</dcterms:created>
  <dcterms:modified xmlns:dcterms="http://purl.org/dc/terms/" xmlns:xsi="http://www.w3.org/2001/XMLSchema-instance" xsi:type="dcterms:W3CDTF">2026-10-15T16:39:49Z</dcterms:modified>
</cp:coreProperties>
</file>